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yers" sheetId="1" state="visible" r:id="rId3"/>
    <sheet name="Partners" sheetId="2" state="visible" r:id="rId4"/>
    <sheet name="Contacts" sheetId="3" state="visible" r:id="rId5"/>
    <sheet name="Notes" sheetId="4" state="visible" r:id="rId6"/>
  </sheets>
  <definedNames>
    <definedName function="false" hidden="true" localSheetId="0" name="_xlnm._FilterDatabase" vbProcedure="false">Buyers!$A$1:$Y$115</definedName>
    <definedName function="false" hidden="true" localSheetId="2" name="_xlnm._FilterDatabase" vbProcedure="false">Contacts!$A$1:$G$125</definedName>
    <definedName function="false" hidden="true" localSheetId="1" name="_xlnm._FilterDatabase" vbProcedure="false">Partners!$A$1:$X$28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<sst xmlns="http://schemas.openxmlformats.org/spreadsheetml/2006/main" count="2292" uniqueCount="1597">
  <si>
    <t xml:space="preserve">#</t>
  </si>
  <si>
    <t xml:space="preserve">company</t>
  </si>
  <si>
    <t xml:space="preserve">url</t>
  </si>
  <si>
    <t xml:space="preserve">city</t>
  </si>
  <si>
    <t xml:space="preserve">sector</t>
  </si>
  <si>
    <t xml:space="preserve">oneline_description</t>
  </si>
  <si>
    <t xml:space="preserve">est._size</t>
  </si>
  <si>
    <t xml:space="preserve">automation_signal</t>
  </si>
  <si>
    <t xml:space="preserve">selfhost_compliance_driver</t>
  </si>
  <si>
    <t xml:space="preserve">score_breakdown</t>
  </si>
  <si>
    <t xml:space="preserve">score</t>
  </si>
  <si>
    <t xml:space="preserve">suggested_firstline_hook</t>
  </si>
  <si>
    <t xml:space="preserve">list</t>
  </si>
  <si>
    <t xml:space="preserve">contacts</t>
  </si>
  <si>
    <t xml:space="preserve">n_contacts</t>
  </si>
  <si>
    <t xml:space="preserve">owner</t>
  </si>
  <si>
    <t xml:space="preserve">contact_email</t>
  </si>
  <si>
    <t xml:space="preserve">touch1_date</t>
  </si>
  <si>
    <t xml:space="preserve">followup_date</t>
  </si>
  <si>
    <t xml:space="preserve">breakup_date</t>
  </si>
  <si>
    <t xml:space="preserve">replied</t>
  </si>
  <si>
    <t xml:space="preserve">call_booked</t>
  </si>
  <si>
    <t xml:space="preserve">call_held</t>
  </si>
  <si>
    <t xml:space="preserve">status</t>
  </si>
  <si>
    <t xml:space="preserve">notes</t>
  </si>
  <si>
    <t xml:space="preserve">Aircash</t>
  </si>
  <si>
    <t xml:space="preserve">aircash.eu</t>
  </si>
  <si>
    <t xml:space="preserve">Zagreb</t>
  </si>
  <si>
    <t xml:space="preserve">Fintech (e-money, Mastercard issuer)</t>
  </si>
  <si>
    <t xml:space="preserve">EU-licensed e-money institution: payments and money transfers</t>
  </si>
  <si>
    <t xml:space="preserve">121 (FINA) / 146 (reputacija.hr (https://reputacija.hr/tvrtka/aircash)), €81.9M revenue 2025</t>
  </si>
  <si>
    <t xml:space="preserve">In-house automation of partner settlement reconciliation, video verification, fraud prevention and reporting; building a Data/AI team (Netokracija (https://www.netokracija.com/aircash-o-ljudima-iza-poznate-fintech-aplikacije-u-potrazi-za-backendasima-197700)); moved AI for onboarding and risk monitoring from bought tools to in-house engineers (Lider (https://lidermedia.hr/tehno/hrvoje-cosic-za-vecinu-procesa-i-dalje-je-dovoljna-osnovna-tehnologija-a-ne-ai-159071)); finance ops growing on Business Central (LinkedIn job (https://hr.linkedin.com/jobs/view/manager-accounting-operations-m-f-at-aircash-4446436189))</t>
  </si>
  <si>
    <t xml:space="preserve">E-money institution, so in DORA scope; hiring AML specialists (MojPosao (https://mojposao.hr/en/job/16e3bcb4-a057-11f0-805e-02d7d3e51677/specijalist-za-sprjecavanje-pranja-novca-m-z))</t>
  </si>
  <si>
    <t xml:space="preserve">2/1/2/2/1</t>
  </si>
  <si>
    <t xml:space="preserve">You moved AI for onboarding and risk monitoring in-house. ByteChef lets you run those agents with guardrails and human sign-off on your own servers, so customer and AML data never leaves your DORA perimeter, and finance-ops reconciliation runs in the same engine.</t>
  </si>
  <si>
    <t xml:space="preserve">target</t>
  </si>
  <si>
    <t xml:space="preserve">Hrvoje Ćosić (Director / CEO); Branimir Petrušić (Director of Product (one source says CTO; unverified)); Ivana Arambašić (Head of IT Operations (as of 2022))</t>
  </si>
  <si>
    <t xml:space="preserve">Alma Career Croatia</t>
  </si>
  <si>
    <t xml:space="preserve">mojposao.hr</t>
  </si>
  <si>
    <t xml:space="preserve">HR tech / online jobs (Alma Media)</t>
  </si>
  <si>
    <t xml:space="preserve">Runs MojPosao, the largest Croatian jobs board</t>
  </si>
  <si>
    <t xml:space="preserve">83 (2025) (reputacija (https://reputacija.hr/tvrtka/alma-career-croatia))</t>
  </si>
  <si>
    <t xml:space="preserve">"Internal Tools Engineer" ad: build automations across M365/Slack, Power Platform scripting, REST integrations, and "champion the adoption of AI in IT Operations" (MojPosao (https://mojposao.hr/posao/0b4437dd-b346-11f1-9e17-0280a8fb46bd/internal-tools-engineer-m-f))</t>
  </si>
  <si>
    <t xml:space="preserve">Candidate personal data across several countries (inferred)</t>
  </si>
  <si>
    <t xml:space="preserve">2/2/3/1/1</t>
  </si>
  <si>
    <t xml:space="preserve">Saw you're hiring an Internal Tools Engineer to build M365/Slack automations and push AI into IT Ops. ByteChef gives that role one open-source, self-hosted engine for integrations and AI agents, with no per-task pricing.</t>
  </si>
  <si>
    <t xml:space="preserve">Alen Mrvac (Country lead (title unverified))</t>
  </si>
  <si>
    <t xml:space="preserve">Plavi tim</t>
  </si>
  <si>
    <t xml:space="preserve">plavitim.hr</t>
  </si>
  <si>
    <t xml:space="preserve">IT services (INA Group captive)</t>
  </si>
  <si>
    <t xml:space="preserve">INA Group's in-house IT company serving all INA members</t>
  </si>
  <si>
    <t xml:space="preserve">162 (CompanyWall (https://www.companywall.hr/tvrtka/plavi-tim-doo/MMxkKcID)); parent group far larger</t>
  </si>
  <si>
    <t xml:space="preserve">UiPath RPA programme with 100+ robotic processes (plavitim.hr (https://plavitim.hr/en/project/projekt-rpa/)); RPA junior specialist ad (expired); current ad cites "advanced technologies for business-process automation" (LinkedIn (https://hr.linkedin.com/jobs/view/4468600056))</t>
  </si>
  <si>
    <t xml:space="preserve">Energy critical infrastructure; on-prem and cloud</t>
  </si>
  <si>
    <t xml:space="preserve">2/2/3/2/0</t>
  </si>
  <si>
    <t xml:space="preserve">With 100+ UiPath robots running for INA, an open-source engine you self-host (API workflows plus AI agents with human approvals, unmetered) could carry the next wave without per-robot licensing.</t>
  </si>
  <si>
    <t xml:space="preserve">Kristian Schuster (Director (registry sources differ))</t>
  </si>
  <si>
    <t xml:space="preserve">HBOR</t>
  </si>
  <si>
    <t xml:space="preserve">hbor.hr</t>
  </si>
  <si>
    <t xml:space="preserve">State development bank</t>
  </si>
  <si>
    <t xml:space="preserve">Croatia's development and export-credit bank, with its own IT sector</t>
  </si>
  <si>
    <t xml:space="preserve">446 staff, end-2024 (annual report (https://www.hbor.hr/UserDocsImages/2025/04/Godi%C5%A1nji%20financijski%20izvje%C5%A1taji%20%202024.pdf?vel=4470859))</t>
  </si>
  <si>
    <t xml:space="preserve">Its IT scholarship call names Kubernetes, Docker, SOA, BPM, Spring, Hibernate and Vaadin (HBOR (https://www.hbor.hr/natjecaj-za-studentske-stipendije)); has an application-support directorate</t>
  </si>
  <si>
    <t xml:space="preserve">State financial institution on its own Kubernetes/Docker; separate information-security function (contacts (https://www.hbor.hr/drugi-kontakti)); public procurement applies</t>
  </si>
  <si>
    <t xml:space="preserve">2/2/2/2/0</t>
  </si>
  <si>
    <t xml:space="preserve">You already run Spring, BPM and SOA on your own Kubernetes. ByteChef is a Java/Spring workflow and AI-agent engine you can deploy on that same cluster, open source and with no per-task pricing.</t>
  </si>
  <si>
    <t xml:space="preserve">Hrvoje Čuvalo (President of the Board (IT sector director not named publicly))</t>
  </si>
  <si>
    <t xml:space="preserve">Hypefy</t>
  </si>
  <si>
    <t xml:space="preserve">hypefy.ai</t>
  </si>
  <si>
    <t xml:space="preserve">AI / martech scale-up</t>
  </si>
  <si>
    <t xml:space="preserve">AI agents for influencer marketing: campaigns, outreach, payments, reporting</t>
  </si>
  <si>
    <t xml:space="preserve">about 49; $7.2M Series A, Jun 2026 (NetInfluencer (https://www.netinfluencer.com/croatian-ai-influencer-marketing-platform-hypefy-raises-7-2m-usd-series-a/))</t>
  </si>
  <si>
    <t xml:space="preserve">AI Engineer (AI Enablement) to automate Sales, Marketing, CS and Campaigns with "workflow agents", MCP servers, guardrails and evals on HubSpot, M365 and Azure (LinkedIn job (https://hr.linkedin.com/jobs/view/ai-engineer-ai-enablement-at-hypefy-4473149265))</t>
  </si>
  <si>
    <t xml:space="preserve">Creator, contract and payment data (GDPR); internal agent volume grows with campaigns</t>
  </si>
  <si>
    <t xml:space="preserve">2/2/2/1/1</t>
  </si>
  <si>
    <t xml:space="preserve">Your AI Enablement posting describes building workflow agents for every department. ByteChef gives that team an open-source, self-hosted engine where agents, HubSpot/M365 connectors and human approval steps live together, with no per-run pricing as usage scales.</t>
  </si>
  <si>
    <t xml:space="preserve">Stjepan Zelić (Co-founder and CEO)</t>
  </si>
  <si>
    <t xml:space="preserve">Njuškalo</t>
  </si>
  <si>
    <t xml:space="preserve">njuskalo.hr</t>
  </si>
  <si>
    <t xml:space="preserve">Online marketplace (Styria)</t>
  </si>
  <si>
    <t xml:space="preserve">Croatia's largest classifieds marketplace, 1.1M+ active users</t>
  </si>
  <si>
    <t xml:space="preserve">111–118; €17.8M revenue 2025 (Fina (https://infobiz.fina.hr/tvrtka/njuskalo-d-o-o/OIB-94718723416)); "almost 150" per a 2026 ad</t>
  </si>
  <si>
    <t xml:space="preserve">Hiring a Senior ML Engineer for an in-house data-science team on Airflow, dbt, MLflow, ClickHouse, AWS, Terraform (TalentLyft (https://njuskalo.talentlyft.com/jobs/machine-learning-engineer-HqY)); also hiring a Mid/Senior DWH Developer (job (https://hr.linkedin.com/jobs/view/mid-senior-dwh-developer-m-f-at-nju%C5%A1kalo-4472377381)), a CDP/event-taxonomy owner on Segment (job (https://hr.linkedin.com/jobs/view/senior-data-measurement-specialist-at-nju%C5%A1kalo-4464805884)) and a pricing &amp; monetization expert (Jooble (https://hr.jooble.org/desc/-8515081775154551079)); PHP/Symfony backend; AI-assisted ad posting (VidiLAB (https://www.vidilab.com/vijesti/ostalo/5650-njuskalo-aplikacija-ai-predaja-oglasa-i-munjevito-pretrazivanje))</t>
  </si>
  <si>
    <t xml:space="preserve">1.1M users' personal data (GDPR, inferred)</t>
  </si>
  <si>
    <t xml:space="preserve">Saw you're hiring a Senior ML Engineer to run Airflow and dbt pipelines. ByteChef is open-source and self-hosted, so ops and AI-agent workflows can sit next to that stack in your own AWS, with no per-task pricing.</t>
  </si>
  <si>
    <t xml:space="preserve">Mario Vrgoč (Director)</t>
  </si>
  <si>
    <t xml:space="preserve">Ciklopea</t>
  </si>
  <si>
    <t xml:space="preserve">ciklopea.com</t>
  </si>
  <si>
    <t xml:space="preserve">Translation / localisation</t>
  </si>
  <si>
    <t xml:space="preserve">Language-services provider for regulated industries, with its own Orchestrum TMS</t>
  </si>
  <si>
    <t xml:space="preserve">20–29 staff + 1,000 external linguists (Adorio (https://www.adorio.hr/ciklopea))</t>
  </si>
  <si>
    <t xml:space="preserve">Orchestrum TMS with CMS and SharePoint connectors "for workflow automation"; client portal with real-time tracking (ciklopea.com (https://ciklopea.com/hr/))</t>
  </si>
  <si>
    <t xml:space="preserve">ISO 27001, 17100, 18587, 13485; regulated clients</t>
  </si>
  <si>
    <t xml:space="preserve">You already wire Orchestrum into CMSs and SharePoint under ISO 27001. ByteChef gives you 190+ self-hosted connectors and AI agents with human review, with no per-task fees and no client text leaving your servers.</t>
  </si>
  <si>
    <t xml:space="preserve">Sandra Stojak (Founder / Director)</t>
  </si>
  <si>
    <t xml:space="preserve">FORA Solutions (Master f&amp;b)</t>
  </si>
  <si>
    <t xml:space="preserve">fora.solutions</t>
  </si>
  <si>
    <t xml:space="preserve">Hospitality fintech / POS</t>
  </si>
  <si>
    <t xml:space="preserve">Digital menus, ordering and payment processing for restaurants and bars</t>
  </si>
  <si>
    <t xml:space="preserve">14 (2025) (fininfo (https://www.fininfo.hr/Poduzece/Pregled/master-fb/Detaljno/785920))</t>
  </si>
  <si>
    <t xml:space="preserve">Payment Support Team Coordinator must "identify opportunities for automation and reducing manual work" across onboarding, activation and incidents (MojPosao (https://mojposao.hr/posao/f1371f51-7231-404f-9f53-1096cc2f2a5a/payment-support-team-coordinator-m-z))</t>
  </si>
  <si>
    <t xml:space="preserve">Payments: acquirers, providers, a compliance team</t>
  </si>
  <si>
    <t xml:space="preserve">Saw you're hiring a Payment Support lead tasked with cutting manual work in onboarding and incidents. ByteChef automates those flows self-hosted, keeping payment data in your own environment, with no per-task fees.</t>
  </si>
  <si>
    <t xml:space="preserve">Ivan Brkić (Managing Director); Pero Pehar (CEO)</t>
  </si>
  <si>
    <t xml:space="preserve">PREMIS</t>
  </si>
  <si>
    <t xml:space="preserve">portal.premis.hr</t>
  </si>
  <si>
    <t xml:space="preserve">Makarska</t>
  </si>
  <si>
    <t xml:space="preserve">Food manufacturing (ice-cream exporter)</t>
  </si>
  <si>
    <t xml:space="preserve">Family ice-cream maker selling across Europe</t>
  </si>
  <si>
    <t xml:space="preserve">30–36 (2025) (reputacija.hr (https://reputacija.hr/tvrtka/premis))</t>
  </si>
  <si>
    <t xml:space="preserve">Digital Automation Specialist ad names "n8n, Make.com, Zapier, Microsoft Power Automate, IFTTT", plus building AI agents (MojPosao (https://mojposao.hr/posao/c0ddda46-9df1-11f0-805e-02d7d3e51677/specijalist-za-digitalnu-automatizaciju-i-tehnolosku-podrsku-m-z), Premis (https://www.portal.premis.hr/zaposaljavamo-specijalist-ica-za-digitalnu-automatizaciju-i-tehnolosku-podrsku/))</t>
  </si>
  <si>
    <t xml:space="preserve">Not stated; cost control for a small team on Workspace, M365, WooCommerce and Shopify</t>
  </si>
  <si>
    <t xml:space="preserve">2/1/3/0/1</t>
  </si>
  <si>
    <t xml:space="preserve">Saw your automation-specialist ad lists n8n, Make, Zapier and Power Automate side by side, plus AI agents. ByteChef covers all of it in one open-source platform you self-host, so whatever your new hire builds never hits per-task pricing.</t>
  </si>
  <si>
    <t xml:space="preserve">Toni Premeru / Branko-Silvio Premeru (Owner / Director (sources differ))</t>
  </si>
  <si>
    <t xml:space="preserve">KentBank</t>
  </si>
  <si>
    <t xml:space="preserve">kentbank.hr</t>
  </si>
  <si>
    <t xml:space="preserve">Retail and SME bank</t>
  </si>
  <si>
    <t xml:space="preserve">Fast-growing universal bank, 16–17 branches</t>
  </si>
  <si>
    <t xml:space="preserve">201–500 (LinkedIn (https://hr.linkedin.com/company/kentbank-d-d-))</t>
  </si>
  <si>
    <t xml:space="preserve">Grew its software development and digital transformation team in 2025; KentPro PSD2 multi-bank app (Glas Slavonije (https://www.glas-slavonije.hr/novosti/ekonomija/2026/05/27/kentbank-ostvario-rekordne-rezultate-u-2025-godini-uz-snazan-rast-digitalnu-transformaciju-i-odrzivi-razvoj-766028/)); hiring developers (MojPosao (https://mojposao.hr/posao/d12efb24-8d70-11f0-b656-023e9d2b1e3d/samostalni-projektant-programer-m-z))</t>
  </si>
  <si>
    <t xml:space="preserve">Took full ownership of its core banking system for "technological independence" (same source); bank, so DORA applies</t>
  </si>
  <si>
    <t xml:space="preserve">2/1/2/2/0</t>
  </si>
  <si>
    <t xml:space="preserve">You took your core banking in-house to be technologically independent. ByteChef applies the same idea to process automation and AI agents: open source, inside your own infrastructure, no per-task fees.</t>
  </si>
  <si>
    <t xml:space="preserve">Hasan Ecesoy (President of the Board; owns the IT and digital-transformation sectors)</t>
  </si>
  <si>
    <t xml:space="preserve">JANAF</t>
  </si>
  <si>
    <t xml:space="preserve">janaf.hr</t>
  </si>
  <si>
    <t xml:space="preserve">Energy (oil pipeline, critical infrastructure)</t>
  </si>
  <si>
    <t xml:space="preserve">Croatia's crude-oil pipeline and storage operator (majority state-owned)</t>
  </si>
  <si>
    <t xml:space="preserve">441 (2025, FINA)</t>
  </si>
  <si>
    <t xml:space="preserve">Hiring "digital process associates" to define BPMN flows across ECM, DMS and ERP (MojPosao (https://mojposao.hr/posao/ebe571aa-19fa-11f0-9b44-028f65c884b5/suradnik-za-digitalne-procese-m-z), RITEH (https://riteh.uniri.hr/novosti/janaf-d-d-3-radna-mjesta/))</t>
  </si>
  <si>
    <t xml:space="preserve">NIS2 energy sector; own security sector; public procurement</t>
  </si>
  <si>
    <t xml:space="preserve">Your digital-process team is mapping BPMN flows across ECM, DMS and ERP. ByteChef can run those flows, plus AI steps with human approval, entirely on JANAF's own network.</t>
  </si>
  <si>
    <t xml:space="preserve">Stjepan Adanić (President of the Board)</t>
  </si>
  <si>
    <t xml:space="preserve">AGRIVI</t>
  </si>
  <si>
    <t xml:space="preserve">agrivi.com</t>
  </si>
  <si>
    <t xml:space="preserve">Agritech SaaS</t>
  </si>
  <si>
    <t xml:space="preserve">Farm-management software with an "AI Engage" product line</t>
  </si>
  <si>
    <t xml:space="preserve">about 39 (Jun 2026)</t>
  </si>
  <si>
    <t xml:space="preserve">Open AI &amp; Automation Engineer role to "drive AGRIVI's internal AI adoption, building the agents and automation that shape how we operate" (TalentLyft (https://agrivi.talentlyft.com/jobs/ai-automation-engineer-fm-ciXf))</t>
  </si>
  <si>
    <t xml:space="preserve">Not stated (Azure stack)</t>
  </si>
  <si>
    <t xml:space="preserve">You're hiring someone to build internal agents and automation from scratch. ByteChef gives that engineer a ready open-source agent and workflow engine with guardrails and approvals, self-hosted and with no per-execution fees.</t>
  </si>
  <si>
    <t xml:space="preserve">Guillaume Rabhi (Chief Digital Officer (the AI &amp; Automation role reports to him)); Matija Žulj (Founder and CEO)</t>
  </si>
  <si>
    <t xml:space="preserve">Monri Payments</t>
  </si>
  <si>
    <t xml:space="preserve">monri.com</t>
  </si>
  <si>
    <t xml:space="preserve">Payments / acquiring (Payten group)</t>
  </si>
  <si>
    <t xml:space="preserve">Card processing, e-commerce gateway and fiscal POS across the Balkans</t>
  </si>
  <si>
    <t xml:space="preserve">121 (2025, FINA)</t>
  </si>
  <si>
    <t xml:space="preserve">Java Spring Boot/Quarkus roles on high-volume transaction systems (LinkedIn job (https://ba.linkedin.com/jobs/view/software-developer-at-monri-payments-member-of-payten-3821982467))</t>
  </si>
  <si>
    <t xml:space="preserve">Payment institution, so DORA applies</t>
  </si>
  <si>
    <t xml:space="preserve">2/2/1/2/0</t>
  </si>
  <si>
    <t xml:space="preserve">Your engineers already write Spring Boot for high-volume payments. ByteChef is a Spring-based, self-hostable workflow and AI-agent engine for back-office automation, kept inside your DORA-scoped infrastructure.</t>
  </si>
  <si>
    <t xml:space="preserve">Damir Čaušević (CEO)</t>
  </si>
  <si>
    <t xml:space="preserve">VIK Split (Vodovod i kanalizacija)</t>
  </si>
  <si>
    <t xml:space="preserve">vik-split.hr</t>
  </si>
  <si>
    <t xml:space="preserve">Split</t>
  </si>
  <si>
    <t xml:space="preserve">City-owned water utility</t>
  </si>
  <si>
    <t xml:space="preserve">Water and sewage for 4 cities and 9 municipalities around Split</t>
  </si>
  <si>
    <t xml:space="preserve">443 (2024) (Fina (https://infobiz.fina.hr/tvrtka/vodovod-i-kanalizacija-d-o-o/OIB-56826138353))</t>
  </si>
  <si>
    <t xml:space="preserve">Programmer ad: maintain remote flow/pressure monitoring software and move data-logger readings to a server "for further processing" (job notice (https://www.vik-split.hr/Portals/0/adam/Contents/Km7_BZXVNEGOSIbwadfHsw/Body/Natje%C4%8Daj%20za%20radna%20mjesta%20programer,%20koordinator,%20skaka%C4%8D-automati%C4%8Dar.pdf))</t>
  </si>
  <si>
    <t xml:space="preserve">NIS2 essential sector (water) (CompliQuest (https://www.compliquest.com/hr/blog/nis2-direktiva-sto-hrvatska-poduzeca-moraju-znati-2026))</t>
  </si>
  <si>
    <t xml:space="preserve">Saw you're hiring a programmer to move data-logger readings onto your servers. ByteChef is open-source and runs on your own servers, so it can schedule those transfers and flag anomalies without metering data leaving your NIS2 perimeter, with no per-task fees.</t>
  </si>
  <si>
    <t xml:space="preserve">Ivica Perić (Director)</t>
  </si>
  <si>
    <t xml:space="preserve">Međimurske vode</t>
  </si>
  <si>
    <t xml:space="preserve">medjimurske-vode.hr</t>
  </si>
  <si>
    <t xml:space="preserve">Čakovec</t>
  </si>
  <si>
    <t xml:space="preserve">County/city-owned water utility</t>
  </si>
  <si>
    <t xml:space="preserve">Water, sewage and wastewater for Međimurje County</t>
  </si>
  <si>
    <t xml:space="preserve">161–175 (2024) (Fina (https://infobiz.fina.hr/tvrtka/meimurske-vode-d-o-o/OIB-81394716246))</t>
  </si>
  <si>
    <t xml:space="preserve">AVEVA supervisory control across 54 sites with Schneider IoT (eMedjimurje (https://emedjimurje.net.hr/vijesti/gospodarstvo/278599/medjimurske-vode-uz-digitalizaciju-do-sigurne-i-pouzdane-vodoopskrbe/)); first utility on e-Građani with daily billing sync; remote meter reading and GIS</t>
  </si>
  <si>
    <t xml:space="preserve">NIS2 water sector</t>
  </si>
  <si>
    <t xml:space="preserve">You already connect AVEVA SCADA, remote meter reading and e-Građani. ByteChef is an open-source workflow and AI-agent engine you host yourself, so it can orchestrate alerts, work orders and billing flows between those systems with no per-execution pricing.</t>
  </si>
  <si>
    <t xml:space="preserve">Bruno Palašek (Monitoring and Control Systems Manager)</t>
  </si>
  <si>
    <t xml:space="preserve">Vodovod-Osijek</t>
  </si>
  <si>
    <t xml:space="preserve">vodovod.com</t>
  </si>
  <si>
    <t xml:space="preserve">Osijek</t>
  </si>
  <si>
    <t xml:space="preserve">Water, sewage and wastewater across Osijek-Baranja County</t>
  </si>
  <si>
    <t xml:space="preserve">460 (2025) (Fina (https://infobiz.fina.hr/tvrtka/vodovod-osijek-d-o-o/OIB-43654507669))</t>
  </si>
  <si>
    <t xml:space="preserve">Rebuilt "Moj Vodovod" app tied to billing and meter data: self-reading, fault reports, connection requests, payments (vodovod.com (https://vodovod.com/predstavljena-nova-aplikacija-moj-vodovod))</t>
  </si>
  <si>
    <t xml:space="preserve">Moj Vodovod now takes fault reports and self-readings. An AI agent with human approval, running on your own servers through open-source ByteChef, could route and answer them automatically without per-task fees.</t>
  </si>
  <si>
    <t xml:space="preserve">Marko Eljuga (Management board)</t>
  </si>
  <si>
    <t xml:space="preserve">Koprivničke vode</t>
  </si>
  <si>
    <t xml:space="preserve">kcvode.hr</t>
  </si>
  <si>
    <t xml:space="preserve">Koprivnica</t>
  </si>
  <si>
    <t xml:space="preserve">Water and sewage for the Koprivnica area</t>
  </si>
  <si>
    <t xml:space="preserve">130 (2025) (Fina (https://infobiz.fina.hr/subjekt/koprivnicke-vode-d-o-o/OIB-20998990299))</t>
  </si>
  <si>
    <t xml:space="preserve">Introduced the Inkom information system, a customer portal, a payment platform, mobile meter reading and a digital archive over two years (drava.info (https://drava.info/2025/12/773020/))</t>
  </si>
  <si>
    <t xml:space="preserve">You've just put Inkom, a customer portal, online payments and mobile reading in place. ByteChef is the open-source, self-hosted layer that can automate the handoffs between them, with AI agents and no per-task pricing.</t>
  </si>
  <si>
    <t xml:space="preserve">Zdravko Petras (Director (verify))</t>
  </si>
  <si>
    <t xml:space="preserve">Sveučilište Algebra Bernays</t>
  </si>
  <si>
    <t xml:space="preserve">algebra.hr</t>
  </si>
  <si>
    <t xml:space="preserve">Private university / training</t>
  </si>
  <si>
    <t xml:space="preserve">Croatia's largest private university (IT, design, business)</t>
  </si>
  <si>
    <t xml:space="preserve">197 (2025) (CompanyWall (https://www.companywall.hr/tvrtka/sveuciliste-algebra-bernays/MMLuWfAY))</t>
  </si>
  <si>
    <t xml:space="preserve">Building an AI learning assistant (Algebra (https://algebra.hr/elearning/nova-era-e-learninga-primjena-umjetne-inteligencije/)); absorbing VSITE students with per-student exam/ECTS recognition (tportal (https://www.tportal.hr/vijesti/clanak/veleuciliste-vsite-prestaje-s-radom-algebra-preuzima-studente-20260722)); teaches two-day n8n + Claude "AI agenti" workshops (algebra.hr (https://algebra.hr/premium-edukacija/konferencija/ai-u-poslovanju/))</t>
  </si>
  <si>
    <t xml:space="preserve">Student records for about 12k learners</t>
  </si>
  <si>
    <t xml:space="preserve">2/2/1/1/1</t>
  </si>
  <si>
    <t xml:space="preserve">You already teach n8n-based AI agents and are building your own AI learning assistant. ByteChef is a Java/Spring, open-source agent and workflow engine you host yourself, with guardrails and human approval, for admissions, the VSITE intake and student services, and it could double as a teaching platform.</t>
  </si>
  <si>
    <t xml:space="preserve">Marko Pršić / Tomislav Dominković (Chief AI Consultant / CEO)</t>
  </si>
  <si>
    <t xml:space="preserve">J&amp;T banka</t>
  </si>
  <si>
    <t xml:space="preserve">jtbanka.hr</t>
  </si>
  <si>
    <t xml:space="preserve">Varaždin</t>
  </si>
  <si>
    <t xml:space="preserve">Banking</t>
  </si>
  <si>
    <t xml:space="preserve">Small J&amp;T-owned bank running its own integrated core system, OLBIS</t>
  </si>
  <si>
    <t xml:space="preserve">55 (end-2024) (annual report (https://www.jtbanka.hr/UserDocsImages/2025/JT%20godi%C5%A1nje%20izvje%C5%A1%C4%87e%202024%20HRV_FINAL.pdf))</t>
  </si>
  <si>
    <t xml:space="preserve">Develops OLBIS in-house for regulatory reporting and instant payments, has added Vestigo for instant payments, and plans an online deposit/mobile/onboarding platform within 12–15 months (same source)</t>
  </si>
  <si>
    <t xml:space="preserve">Credit institution under DORA; 2024 infrastructure focus on monitoring and vulnerability checks</t>
  </si>
  <si>
    <t xml:space="preserve">Your 2024 report says you're adding an online onboarding and deposit platform next to OLBIS and Vestigo. ByteChef is open source and runs inside your own perimeter, so you can connect those systems and automate onboarding and reporting with AI agents and human approvals, at no per-task fees.</t>
  </si>
  <si>
    <t xml:space="preserve">Hrvoje Draksler (President of the Board)</t>
  </si>
  <si>
    <t xml:space="preserve">Hidrocibalae</t>
  </si>
  <si>
    <t xml:space="preserve">hidrocibalae.hr</t>
  </si>
  <si>
    <t xml:space="preserve">Vinkovci</t>
  </si>
  <si>
    <t xml:space="preserve">Energy services (offshore survey data)</t>
  </si>
  <si>
    <t xml:space="preserve">Processes hydrographic and geophysical survey data for offshore wind, oil &amp; gas and marine construction</t>
  </si>
  <si>
    <t xml:space="preserve">60 / "70+" (CompanyWall (https://www.companywall.hr/pretraga?n=hidrocibalae))</t>
  </si>
  <si>
    <t xml:space="preserve">Hired a Head of Technology to run R&amp;D and IT strategy (MojPosao (https://mojposao.hr/posao/45658dab-6ba4-11f0-8b41-023a0724bf89/head-of-technology-m-z)); says it runs 200+ automated solutions in Python and its own Marelia platform (site (https://www.hidrocibalae.hr/))</t>
  </si>
  <si>
    <t xml:space="preserve">Confidential client survey data (inferred)</t>
  </si>
  <si>
    <t xml:space="preserve">2/2/2/1/0</t>
  </si>
  <si>
    <t xml:space="preserve">Saw you're hiring a Head of Technology to set the IT strategy behind your 200+ automations. ByteChef could run your internal ops workflows and AI agents next to Marelia, self-hosted, with no per-task fees.</t>
  </si>
  <si>
    <t xml:space="preserve">Montelektro</t>
  </si>
  <si>
    <t xml:space="preserve">montelektro.hr</t>
  </si>
  <si>
    <t xml:space="preserve">Kastav</t>
  </si>
  <si>
    <t xml:space="preserve">Industrial automation / MES</t>
  </si>
  <si>
    <t xml:space="preserve">Process-control integrator; makes the Digital Factory Portal MES and BatchME (130+ breweries)</t>
  </si>
  <si>
    <t xml:space="preserve">226 (CompanyWall (https://www.companywall.hr/pretraga?n=montelektro))</t>
  </si>
  <si>
    <t xml:space="preserve">Hired an "engineer for business IT systems" (SQL, accounting/finance processes), Jul 2026 (MojPosao (https://mojposao.hr/posao/c9644416-7530-11f1-9e17-0280a8fb46bd/inzenjer-za-poslovne-it-sustave-m-z)); R&amp;D lead ad on "integrating AI technologies into business systems" (LinkedIn (https://hr.linkedin.com/jobs/view/4470871035))</t>
  </si>
  <si>
    <t xml:space="preserve">On-prem factory culture (inferred)</t>
  </si>
  <si>
    <t xml:space="preserve">Saw you were hiring an engineer for business IT systems. ByteChef could link your finance and ERP back office without per-task pricing, and it self-hosts like the factory stacks you deliver.</t>
  </si>
  <si>
    <t xml:space="preserve">Mario Županović (CEO); Krešimir Bušić (Director of Automation and Innovation)</t>
  </si>
  <si>
    <t xml:space="preserve">Končar – Institut za elektrotehniku</t>
  </si>
  <si>
    <t xml:space="preserve">koncar-institut.hr</t>
  </si>
  <si>
    <t xml:space="preserve">Electrical-engineering R&amp;D / testing (Končar group)</t>
  </si>
  <si>
    <t xml:space="preserve">R&amp;D and testing institute; transformer/machine monitoring and rail ICT</t>
  </si>
  <si>
    <t xml:space="preserve">234 (CompanyWall (https://www.companywall.hr/pretraga?n=kon%C4%8Dar%20institut%20za%20elektrotehniku))</t>
  </si>
  <si>
    <t xml:space="preserve">Hiring mid and senior .NET developers (MojPosao (https://mojposao.hr/posao/75676245-b592-11f1-9e17-0280a8fb46bd/mid-net-software-developer-m-f)); runs a Digital Factory Lab Industry 4.0 initiative (DFL (https://www.koncar-institut.hr/digital-factory-lab/))</t>
  </si>
  <si>
    <t xml:space="preserve">Monitoring for power plants and rail (critical infrastructure)</t>
  </si>
  <si>
    <t xml:space="preserve">Saw you're growing the .NET team and running the Digital Factory Lab. ByteChef is an open-source automation and AI-agent engine you can host on-prem, so lab and monitoring data never leaves your network.</t>
  </si>
  <si>
    <t xml:space="preserve">Dalibor Filipović-Grčić (Director)</t>
  </si>
  <si>
    <t xml:space="preserve">Zagrel Rittmeyer</t>
  </si>
  <si>
    <t xml:space="preserve">zagrel.hr</t>
  </si>
  <si>
    <t xml:space="preserve">SCADA / IoT for water and energy utilities</t>
  </si>
  <si>
    <t xml:space="preserve">Automation and SCADA integrator for water utilities (Swiss Rittmeyer/Brugg group)</t>
  </si>
  <si>
    <t xml:space="preserve">25 (CompanyWall (https://www.companywall.hr/pretraga?n=zagrel%20rittmeyer))</t>
  </si>
  <si>
    <t xml:space="preserve">DevOps engineer ad: Azure plus local servers, "process automation using PowerShell and Python" (tportal (https://www.tportal.hr/tehno/clanak/trazite-posao-u-it-sektoru-pogledajte-koje-tvrtke-zaposljavaju-20251003)); IoT Solution Owner hire</t>
  </si>
  <si>
    <t xml:space="preserve">Water-utility clients are NIS2 essential entities</t>
  </si>
  <si>
    <t xml:space="preserve">Saw you're hiring DevOps to automate processes with PowerShell and Python. ByteChef turns those scripts into governed, self-hosted workflows with AI agents and approvals, at no per-run cost.</t>
  </si>
  <si>
    <t xml:space="preserve">Hendal</t>
  </si>
  <si>
    <t xml:space="preserve">hendal.hr</t>
  </si>
  <si>
    <t xml:space="preserve">Market research</t>
  </si>
  <si>
    <t xml:space="preserve">Croatian-owned research and polling agency since 1993; Eurobarometer partner</t>
  </si>
  <si>
    <t xml:space="preserve">17–18 staff + 400 field interviewers (Fina (https://infobiz.fina.hr/tvrtka/hendal-d-o-o/OIB-35357386687))</t>
  </si>
  <si>
    <t xml:space="preserve">F2F, CATI, CAWI and an online panel processed in SPSS, Q and R; launched "Henri", an AI platform over client research data (hendal.hr (https://www.hendal.hr/))</t>
  </si>
  <si>
    <t xml:space="preserve">ISO 20252, ISO 9001, GDPR, ESOMAR</t>
  </si>
  <si>
    <t xml:space="preserve">2/1/1/2/1</t>
  </si>
  <si>
    <t xml:space="preserve">Henri shows you're putting AI on top of 30 years of survey data. ByteChef can automate the CATI/CAWI-to-SPSS/R pipeline and run AI agents on your own server, which fits ISO 20252 and GDPR, with no per-run pricing.</t>
  </si>
  <si>
    <t xml:space="preserve">Identyum</t>
  </si>
  <si>
    <t xml:space="preserve">identyum.com</t>
  </si>
  <si>
    <t xml:space="preserve">RegTech / digital identity</t>
  </si>
  <si>
    <t xml:space="preserve">KYC/AML onboarding, ID wallet, e-signature and open-banking AML (FinCheck) for banks, pension funds and fintechs</t>
  </si>
  <si>
    <t xml:space="preserve">11–50 (LinkedIn (https://hr.linkedin.com/company/identyum))</t>
  </si>
  <si>
    <t xml:space="preserve">Hiring a support lead for a 5-person tier-1/2 team on Jira, Slack, email and Graylog; engineering stack is Java Spring Boot, OAuth 2.0, PostgreSQL, OpenSearch (job ad (https://hr.linkedin.com/jobs/view/voditelj-tehni%C4%8Dke-podr%C5%A1ke-klijentima-fizi%C4%8Dkim-osobama-slu%C5%BEbenik-za-identifikaciju-m-%C5%BE-at-identyum-4472147188))</t>
  </si>
  <si>
    <t xml:space="preserve">eIDAS, GDPR, PSD2, AML, AISP licence, ISO 27001 (site (https://www.identyum.com/))</t>
  </si>
  <si>
    <t xml:space="preserve">Saw you're hiring a support lead to run tier-1/2 on Jira, Slack and email. ByteChef is open-source and Java/Spring like your stack, self-hosts inside your ISO 27001 perimeter, and can automate ticket triage, KYC-case escalation and log-to-ticket flows with AI agents and human approvals, with no per-task fees.</t>
  </si>
  <si>
    <t xml:space="preserve">Robert Ilijas (CEO); Tomislav Bošnjaković (COO)</t>
  </si>
  <si>
    <t xml:space="preserve">Solflare</t>
  </si>
  <si>
    <t xml:space="preserve">solflare.com</t>
  </si>
  <si>
    <t xml:space="preserve">Crypto (self-custody wallet)</t>
  </si>
  <si>
    <t xml:space="preserve">Solana wallet with about 4M monthly users and $20B+ in assets</t>
  </si>
  <si>
    <t xml:space="preserve">about 140–161 (LinkedIn (https://hr.linkedin.com/company/solflare))</t>
  </si>
  <si>
    <t xml:space="preserve">Senior Data Engineer for ETL/ELT from databases and APIs (BigQuery, dbt Cloud, PostHog, Dune, Metabase); "Claude Code is deeply integrated" in daily work (job ad (https://hr.linkedin.com/jobs/view/senior-data-engineer-at-solflare-4468230609))</t>
  </si>
  <si>
    <t xml:space="preserve">Security-critical custody product (inferred)</t>
  </si>
  <si>
    <t xml:space="preserve">2/1/2/1/1</t>
  </si>
  <si>
    <t xml:space="preserve">Saw you're hiring a Senior Data Engineer to pull APIs and on-chain data into BigQuery, and that Claude Code is already part of daily work. ByteChef is an open-source workflow and AI-agent engine you can self-host next to your wallet infrastructure, with unmetered runs for ops and data glue.</t>
  </si>
  <si>
    <t xml:space="preserve">Vidor Gencel (Co-founder)</t>
  </si>
  <si>
    <t xml:space="preserve">HOK osiguranje</t>
  </si>
  <si>
    <t xml:space="preserve">hok-osiguranje.hr</t>
  </si>
  <si>
    <t xml:space="preserve">Insurance</t>
  </si>
  <si>
    <t xml:space="preserve">Croatian non-life/motor insurer selling mainly through its own network</t>
  </si>
  <si>
    <t xml:space="preserve">294 (2024 avg) (GFI 2024 (https://www.hok-osiguranje.hr/wp-content/uploads/2025/05/Godisnji-financijski-izvjestaji-za-2024.-godinu-s-misljenjem-aktuara.pdf))</t>
  </si>
  <si>
    <t xml:space="preserve">2025 SFCR targets "further digitalisation and acceleration" of claims; internal controls already partly "through automated work processes" (SFCR 2025 (https://www.hok-osiguranje.hr/wp-content/uploads/2026/04/Izvjesce-o-solventnosti-i-financijskom-stanju-2025.pdf))</t>
  </si>
  <si>
    <t xml:space="preserve">Solvency II, DORA; named information-security officer</t>
  </si>
  <si>
    <t xml:space="preserve">Your 2025 SFCR names faster, more digital claims settlement as a priority. ByteChef is open-source automation with AI agents that runs on your own servers, so claims workflows stay in-house for DORA and there is no per-task fee.</t>
  </si>
  <si>
    <t xml:space="preserve">Hrvoje Pezić (President of the Board (covers IT))</t>
  </si>
  <si>
    <t xml:space="preserve">Solvera stambena štedionica</t>
  </si>
  <si>
    <t xml:space="preserve">solverastedionica.hr</t>
  </si>
  <si>
    <t xml:space="preserve">Housing savings bank (Slatinska banka group)</t>
  </si>
  <si>
    <t xml:space="preserve">Former Wüstenrot housing savings bank, acquired and rebranded in 2025</t>
  </si>
  <si>
    <t xml:space="preserve">138 (Dec 2025) (annual report (https://www.solverastedionica.hr/UserDocsImages/SOLVERA%20DOC%20pdf/SOLVERA%20GI%202025%20kona%C4%8Dno.pdf?vel=2658032))</t>
  </si>
  <si>
    <t xml:space="preserve">IT migration from the legacy CICS system to a new Solvera system; adjusting business processes (same source)</t>
  </si>
  <si>
    <t xml:space="preserve">HNB-supervised, DORA; bank-group integration</t>
  </si>
  <si>
    <t xml:space="preserve">Moving off CICS and into the Slatinska banka group creates a lot of system-to-system work. ByteChef can automate those flows, with AI agents, entirely on your own infrastructure and with no per-task pricing.</t>
  </si>
  <si>
    <t xml:space="preserve">Boris Zadro (President of the Board)</t>
  </si>
  <si>
    <t xml:space="preserve">Porsche Leasing</t>
  </si>
  <si>
    <t xml:space="preserve">porscheleasing.com.hr</t>
  </si>
  <si>
    <t xml:space="preserve">Leasing (Porsche Bank group)</t>
  </si>
  <si>
    <t xml:space="preserve">Croatian vehicle-leasing arm of Porsche Bank AG</t>
  </si>
  <si>
    <t xml:space="preserve">77 (2025) (poslovna.hr (https://www.poslovna.hr/lite/porsche-leasing/225428/subjekti.aspx?AspxAutoDetectCookieSupport=1))</t>
  </si>
  <si>
    <t xml:space="preserve">Hired a "project manager for digitalisation and process optimisation" (ad from 2021) (MojPosao (https://mojposao.hr/posao/b744405e-a610-11ee-9a53-02d5740d71bf/Voditelj-projekta-na-podrucju-digitalizacije-i-optimizacije-procesa-mz?source=old))</t>
  </si>
  <si>
    <t xml:space="preserve">HANFA-regulated; group IT governance</t>
  </si>
  <si>
    <t xml:space="preserve">Your digitalisation and process-optimisation work has a natural next step: ByteChef gives that team an open-source, self-hosted engine with AI agents to automate leasing back-office flows, with no per-task fees.</t>
  </si>
  <si>
    <t xml:space="preserve">Danijel Pasarić (Director)</t>
  </si>
  <si>
    <t xml:space="preserve">Erste Group Card Processor</t>
  </si>
  <si>
    <t xml:space="preserve">egcp.com</t>
  </si>
  <si>
    <t xml:space="preserve">Card processing (Erste group)</t>
  </si>
  <si>
    <t xml:space="preserve">Erste Group's card-processing IT company: digital cards, AI fraud prevention</t>
  </si>
  <si>
    <t xml:space="preserve">141 (2025) (poslovna.hr (https://poslovna.hr/lite/erste-group-card-processor/90011/subjekti.aspx))</t>
  </si>
  <si>
    <t xml:space="preserve">Java, Angular, OpenShift and Kubernetes stack (ITJobsCroatia (https://itjobscroatia.com/companies/Xy573xAltc)); ops and data flows across group entities (inferred)</t>
  </si>
  <si>
    <t xml:space="preserve">PCI DSS and DORA; runs its own OpenShift</t>
  </si>
  <si>
    <t xml:space="preserve">You already run Java on your own OpenShift. ByteChef is a Java/Spring open-source automation and AI-agent engine you can deploy on that same platform, so PCI-scoped workflows never leave it and there is no per-execution fee.</t>
  </si>
  <si>
    <t xml:space="preserve">Kristina Zver (Head of Operations)</t>
  </si>
  <si>
    <t xml:space="preserve">Sunčani Hvar</t>
  </si>
  <si>
    <t xml:space="preserve">suncanihvar.com</t>
  </si>
  <si>
    <t xml:space="preserve">Hvar</t>
  </si>
  <si>
    <t xml:space="preserve">Hotel group</t>
  </si>
  <si>
    <t xml:space="preserve">8-hotel group on Hvar (Bahraini-owned); €43.5M revenue</t>
  </si>
  <si>
    <t xml:space="preserve">363 (FINA 2025) (Fina (https://infobiz.fina.hr/subjekt/suncani-hvar-d-d/OIB-29834131149))</t>
  </si>
  <si>
    <t xml:space="preserve">IT Director and in-house IT; centralised all 8 hotels on one platform to roll out group-wide services; smart-room plans (UHPA (https://www.uhpa.hr/hr/vijesti/digitalna-revolucija-na-hvaru))</t>
  </si>
  <si>
    <t xml:space="preserve">Runs its own on-prem compact data centre with a security gateway (Kongres (https://kongres-magazine.eu/2026/02/suncani-hvar-and-m3connect-set-new-standards-in-it-infrastructure/))</t>
  </si>
  <si>
    <t xml:space="preserve">You just centralised all eight hotels onto your own on-prem data centre. ByteChef is open-source automation and AI agents you can run in that same data centre, with no per-task pricing, to connect PMS, POS and guest services group-wide.</t>
  </si>
  <si>
    <t xml:space="preserve">Zdravko Tudor (IT Director)</t>
  </si>
  <si>
    <t xml:space="preserve">Infomare</t>
  </si>
  <si>
    <t xml:space="preserve">infomare.hr</t>
  </si>
  <si>
    <t xml:space="preserve">Software (ERP for public sector)</t>
  </si>
  <si>
    <t xml:space="preserve">30-year ERP vendor, mainly for the Croatian public sector</t>
  </si>
  <si>
    <t xml:space="preserve">48 (2024) (reputacija (https://reputacija.hr/tvrtka/infomare))</t>
  </si>
  <si>
    <t xml:space="preserve">Junior DevOps hire spending about 70% of the time on automation (LinkedIn (https://hr.linkedin.com/jobs/view/4472595979))</t>
  </si>
  <si>
    <t xml:space="preserve">Public-sector ERP customers (data residency)</t>
  </si>
  <si>
    <t xml:space="preserve">Saw you're hiring a DevOps engineer to drive automation. An open-source automation engine your public-sector ERP clients can run on-prem, with no per-execution pricing, could extend that work into your products and your own back office.</t>
  </si>
  <si>
    <t xml:space="preserve">Damir Kaknjo (IT Manager); Goran Novak (CEO)</t>
  </si>
  <si>
    <t xml:space="preserve">Zagrebačka burza (ZSE)</t>
  </si>
  <si>
    <t xml:space="preserve">zse.hr</t>
  </si>
  <si>
    <t xml:space="preserve">Capital-markets infrastructure</t>
  </si>
  <si>
    <t xml:space="preserve">Croatian stock exchange (also owns the Ljubljana exchange)</t>
  </si>
  <si>
    <t xml:space="preserve">24 (d.d.) / 37 (group), end-2025 (annual report (https://eho.zse.hr/fileadmin/issuers/ZB/FI-ZB-07f3af13f5fa32c6206514c14c83c1c5.pdf))</t>
  </si>
  <si>
    <t xml:space="preserve">Fully digitalised listing-document submission (Nov 2025); in-house IT "actively working to reduce costs and the need for external vendors" (same source)</t>
  </si>
  <si>
    <t xml:space="preserve">DORA implementation through 2026. FINA has announced a takeover intent, which could move IT decisions</t>
  </si>
  <si>
    <t xml:space="preserve">2/1/1/2/0</t>
  </si>
  <si>
    <t xml:space="preserve">Your IT team is cutting external vendors while implementing DORA. ByteChef is open-source automation and AI agents you run yourself: no new SaaS vendor and no per-task pricing.</t>
  </si>
  <si>
    <t xml:space="preserve">Ivana Gažić (President of the Board)</t>
  </si>
  <si>
    <t xml:space="preserve">Istarska kreditna banka (IKB)</t>
  </si>
  <si>
    <t xml:space="preserve">ikb.hr</t>
  </si>
  <si>
    <t xml:space="preserve">Umag</t>
  </si>
  <si>
    <t xml:space="preserve">Regional bank</t>
  </si>
  <si>
    <t xml:space="preserve">Istrian regional bank, also in Primorje-Gorski Kotar and Zagreb</t>
  </si>
  <si>
    <t xml:space="preserve">223 (end-2025)</t>
  </si>
  <si>
    <t xml:space="preserve">IT sector hiring a programmer, a sysadmin and an IT security analyst (MojPosao (https://mojposao.hr/posao/f0edc226-acc5-11ef-8ae2-02862c3d2b49/programer-m-z))</t>
  </si>
  <si>
    <t xml:space="preserve">Bank (DORA); runs its own servers. New CEO from Feb 2027</t>
  </si>
  <si>
    <t xml:space="preserve">IKB runs its own servers and is building its in-house programming team. ByteChef adds open-source process automation and AI agents to that stack, on-prem and DORA-friendly, with no per-task licence.</t>
  </si>
  <si>
    <t xml:space="preserve">Tomislav Jeletić (Incoming CEO (from Feb 2027))</t>
  </si>
  <si>
    <t xml:space="preserve">Electrocoin</t>
  </si>
  <si>
    <t xml:space="preserve">electrocoin.eu</t>
  </si>
  <si>
    <t xml:space="preserve">Crypto (CASP) / crypto payments</t>
  </si>
  <si>
    <t xml:space="preserve">Croatia's first Bitcoin exchange; first Croatian MiCA licence (Apr 2026)</t>
  </si>
  <si>
    <t xml:space="preserve">29 (2025, FINA)</t>
  </si>
  <si>
    <t xml:space="preserve">In-house engineering on Python/Django and React</t>
  </si>
  <si>
    <t xml:space="preserve">First MiCA CASP in Croatia (HANFA (https://www.hanfa.hr/news/hanfa-board-meeting-electrocoin-doo-becomes-the-first-company-to-obtain-hanfa-s-authorisation-to-operate-in-accordance-with-mica/)); in DORA scope</t>
  </si>
  <si>
    <t xml:space="preserve">Now that you're fully supervised under MiCA and DORA, ByteChef can automate compliance and ops workflows, with AI review steps and human approval, on infrastructure you control.</t>
  </si>
  <si>
    <t xml:space="preserve">Nikola Škorić (Co-founder)</t>
  </si>
  <si>
    <t xml:space="preserve">Poliklinika Salvea</t>
  </si>
  <si>
    <t xml:space="preserve">poliklinika-salvea.hr</t>
  </si>
  <si>
    <t xml:space="preserve">Private healthcare (paediatrics; Salveo CEE group)</t>
  </si>
  <si>
    <t xml:space="preserve">Fast-growing paediatric polyclinic</t>
  </si>
  <si>
    <t xml:space="preserve">26 (FINA)</t>
  </si>
  <si>
    <t xml:space="preserve">Launched Croatia's first AI WhatsApp booking agent with Datum; waitlist, missed-call and transport workflows planned (Lider (https://lidermedia.hr/info/salvea-i-datum-razvili-prvog-ai-agenta-za-narucivanje-u-zdravstvu/))</t>
  </si>
  <si>
    <t xml:space="preserve">Agent described as a "closed, secure and fully controlled system"; health data under GDPR</t>
  </si>
  <si>
    <t xml:space="preserve">2/0/2/1/1</t>
  </si>
  <si>
    <t xml:space="preserve">Your booking agent is already a closed, controlled system. ByteChef lets you add waitlist, missed-call and transport workflows with guardrails and staff approval, all inside your own environment.</t>
  </si>
  <si>
    <t xml:space="preserve">Marija Bošnjak (Director)</t>
  </si>
  <si>
    <t xml:space="preserve">Aminess</t>
  </si>
  <si>
    <t xml:space="preserve">posao.aminess.com</t>
  </si>
  <si>
    <t xml:space="preserve">Novigrad</t>
  </si>
  <si>
    <t xml:space="preserve">Hospitality group (34 hotels and camps)</t>
  </si>
  <si>
    <t xml:space="preserve">Istrian hotel and camping group</t>
  </si>
  <si>
    <t xml:space="preserve">507 (headcount) / 333 (by hours), 2025; borderline (reputacija.hr (https://reputacija.hr/tvrtka/aminess))</t>
  </si>
  <si>
    <t xml:space="preserve">Digital Projects Specialist ad asks for generative AI, process automation, AI assistants, RPA, and PMS/CRS/CRM/channel-manager integrations (Jooble (https://hr.jooble.org/desc/-5544325884441827539))</t>
  </si>
  <si>
    <t xml:space="preserve">Guest personal data (GDPR); seasonal volume spikes</t>
  </si>
  <si>
    <t xml:space="preserve">1/1/2/1/1</t>
  </si>
  <si>
    <t xml:space="preserve">Your digital-projects role asks for RPA, AI assistants and PMS/CRS/CRM integrations. ByteChef connects those systems and adds AI agents with human approval, self-hosted so guest data stays in your EU environment and seasonal peaks cost nothing extra.</t>
  </si>
  <si>
    <t xml:space="preserve">Ivica Sulje (Director)</t>
  </si>
  <si>
    <t xml:space="preserve">The Coral</t>
  </si>
  <si>
    <t xml:space="preserve">unknown</t>
  </si>
  <si>
    <t xml:space="preserve">Dubrovnik (role in Split)</t>
  </si>
  <si>
    <t xml:space="preserve">Hospitality (restaurants, tourism)</t>
  </si>
  <si>
    <t xml:space="preserve">Restaurant/tourism operator hiring an integrations specialist</t>
  </si>
  <si>
    <t xml:space="preserve">17 (2025) (reputacija.hr (https://reputacija.hr/tvrtka/the-coral))</t>
  </si>
  <si>
    <t xml:space="preserve">Specialist to automate processes and build integrations across POS, cashless, reservations, fiscalization and warehouse (REST, SQL, Python/JS) (Jooble (https://hr.jooble.org/desc/5200138794544945088))</t>
  </si>
  <si>
    <t xml:space="preserve">Fiscalization and payment data</t>
  </si>
  <si>
    <t xml:space="preserve">2/1/2/1/0</t>
  </si>
  <si>
    <t xml:space="preserve">Your new integrations role ties together POS, cashless, reservations and fiscalization. ByteChef gives that one engineer a self-hosted, open-source workflow engine with 190+ connectors and custom code, instead of brittle scripts or per-task SaaS.</t>
  </si>
  <si>
    <t xml:space="preserve">Nikolina Feller (Owner and director)</t>
  </si>
  <si>
    <t xml:space="preserve">KD VIK Rijeka</t>
  </si>
  <si>
    <t xml:space="preserve">kdvik-rijeka.hr</t>
  </si>
  <si>
    <t xml:space="preserve">Rijeka</t>
  </si>
  <si>
    <t xml:space="preserve">Rijeka-area utility, now merged with four neighbouring utilities</t>
  </si>
  <si>
    <t xml:space="preserve">about 450 after the merger (Rijeka Danas (https://www.rijekadanas.com/veliko-spajanje-vik-a-bez-dokaza-o-ustedama-rukovoditelja-vise-gradani-koristi-jos-cekaju/))</t>
  </si>
  <si>
    <t xml:space="preserve">Five systems merged; press says efficiency gains not yet shown (same source); senior IT-support administrator vacancy (search snippet)</t>
  </si>
  <si>
    <t xml:space="preserve">Press coverage says the five-utility merger hasn't shown efficiency gains yet. Self-hosted, open-source ByteChef can automate the cross-site processes behind those numbers, with no per-execution costs.</t>
  </si>
  <si>
    <t xml:space="preserve">Marko Togunjac (Director)</t>
  </si>
  <si>
    <t xml:space="preserve">Poslovni sustavi (Rijeka)</t>
  </si>
  <si>
    <t xml:space="preserve">poslovni-sustavi.hr</t>
  </si>
  <si>
    <t xml:space="preserve">City-owned shared-services company</t>
  </si>
  <si>
    <t xml:space="preserve">Runs legal, HR, IT, accounting and audit for Autotrolej, Energo, Čistoća, Kozala and Rijeka plus</t>
  </si>
  <si>
    <t xml:space="preserve">101 (CompanyWall (https://www.companywall.hr/tvrtka/poslovni-sustavi-d-o-o/MMxzvGzR))</t>
  </si>
  <si>
    <t xml:space="preserve">Since Feb 2024 issues one housing-cost bill combining city rent, KD VIK water, Energo heating/gas, Čistoća waste and Hrvatske vode (rijeka.hr (https://www.rijeka.hr/od-1-veljace-objedinjenu-naplatu-troskova-stanovanja-obavlja-tvrtka-poslovni-sustavi/))</t>
  </si>
  <si>
    <t xml:space="preserve">City-wide household billing data; runs IT for a gas distributor (NIS2). One account reaches five city companies</t>
  </si>
  <si>
    <t xml:space="preserve">The unified housing bill pulls data from KD VIK, Energo, Čistoća and the City every month. ByteChef can run those reconciliations on your own infrastructure for all five companies you serve, with no per-task fees.</t>
  </si>
  <si>
    <t xml:space="preserve">Tomislav Mazal (Director)</t>
  </si>
  <si>
    <t xml:space="preserve">VIOZZ</t>
  </si>
  <si>
    <t xml:space="preserve">viozz.hr</t>
  </si>
  <si>
    <t xml:space="preserve">Zagreb County</t>
  </si>
  <si>
    <t xml:space="preserve">Local-government water utility</t>
  </si>
  <si>
    <t xml:space="preserve">Water and sewage for eastern Zagreb County</t>
  </si>
  <si>
    <t xml:space="preserve">125 (2025) (Fina (https://infobiz.fina.hr/tvrtka/vodoopskrba-i-odvodnja-zagrebacke-zupanije-d-o-o/OIB-54189804734))</t>
  </si>
  <si>
    <t xml:space="preserve">IT specialist role advertised every year 2023–2026 (natječaji (https://viozz.hr/natjecaji))</t>
  </si>
  <si>
    <t xml:space="preserve">Saw you're hiring an IT specialist again. A self-hosted, open-source automation and AI-agent platform lets a small IT team cover NIS2 reporting and routine workflows without SaaS per-task bills.</t>
  </si>
  <si>
    <t xml:space="preserve">Tomislav Masten (Director)</t>
  </si>
  <si>
    <t xml:space="preserve">Profil Klett</t>
  </si>
  <si>
    <t xml:space="preserve">profil-klett.hr</t>
  </si>
  <si>
    <t xml:space="preserve">Educational publishing / ed-tech</t>
  </si>
  <si>
    <t xml:space="preserve">Textbook publisher building the IZZI platform (31k teachers, 180k pupils)</t>
  </si>
  <si>
    <t xml:space="preserve">123 (2025) (CompanyWall (https://www.companywall.hr/tvrtka/profil-klett-doo/MMxwoRlR))</t>
  </si>
  <si>
    <t xml:space="preserve">In-house Centre for Educational Technologies develops IZZI; hired backend developers (IZZI (https://www.profil-klett.hr/izzi))</t>
  </si>
  <si>
    <t xml:space="preserve">Data on minors</t>
  </si>
  <si>
    <t xml:space="preserve">2/2/1/1/0</t>
  </si>
  <si>
    <t xml:space="preserve">IZZI serves 180,000 pupils, so school data should stay on infrastructure you control. Self-hosted, open-source ByteChef can automate school onboarding, licence and support workflows with AI agents and no per-task pricing.</t>
  </si>
  <si>
    <t xml:space="preserve">Zvonimir Stanić (Director, Centre for Educational Technologies (verify))</t>
  </si>
  <si>
    <t xml:space="preserve">Podravska banka</t>
  </si>
  <si>
    <t xml:space="preserve">poba.hr</t>
  </si>
  <si>
    <t xml:space="preserve">Mid-sized regional bank building digital products (POBAgo, POBAflex)</t>
  </si>
  <si>
    <t xml:space="preserve">201–500 (LinkedIn (https://hr.linkedin.com/company/podravska-banka-d.d.))</t>
  </si>
  <si>
    <t xml:space="preserve">POBAflex instalments in the POBAgo app; Google Pay cashback campaigns (same source)</t>
  </si>
  <si>
    <t xml:space="preserve">Bank under DORA</t>
  </si>
  <si>
    <t xml:space="preserve">POBAflex and the Google Pay campaigns mean more back-office steps between the app, cards and core banking. ByteChef automates those flows on your own servers, which is DORA-friendly and has no per-execution pricing.</t>
  </si>
  <si>
    <t xml:space="preserve">Goran Varat (Board member and CFO)</t>
  </si>
  <si>
    <t xml:space="preserve">Merkur osiguranje (HR)</t>
  </si>
  <si>
    <t xml:space="preserve">merkur.hr</t>
  </si>
  <si>
    <t xml:space="preserve">Croatian arm of Merkur insurance, with an app, portal, online claims and web shop</t>
  </si>
  <si>
    <t xml:space="preserve">156 (2025) (poslovna.hr (https://www.poslovna.hr/lite/merkur-osiguranje/168532/subjekti.aspx))</t>
  </si>
  <si>
    <t xml:space="preserve">Merkur App, Moj Merkur portal, online claims, web shop and online payment (merkur.hr (https://www.merkur.hr/))</t>
  </si>
  <si>
    <t xml:space="preserve">Insurer under DORA</t>
  </si>
  <si>
    <t xml:space="preserve">Online claims, Moj Merkur and the web shop all hand work to the back office. ByteChef can route claims and payments between them with AI triage and human approval, self-hosted and with no per-task fees.</t>
  </si>
  <si>
    <t xml:space="preserve">Marko Klemenčič (President of the Board)</t>
  </si>
  <si>
    <t xml:space="preserve">Agram Life osiguranje</t>
  </si>
  <si>
    <t xml:space="preserve">agramlife.hr</t>
  </si>
  <si>
    <t xml:space="preserve">Insurance (life/health)</t>
  </si>
  <si>
    <t xml:space="preserve">Croatian-owned life and health insurer, 12 offices plus an Italian subsidiary</t>
  </si>
  <si>
    <t xml:space="preserve">51–200 (LinkedIn (https://hr.linkedin.com/company/agramlife))</t>
  </si>
  <si>
    <t xml:space="preserve">Hiring an IT system administrator; IT appears shared across the Agram group (careers (https://www.agramlife.hr/karijera/))</t>
  </si>
  <si>
    <t xml:space="preserve">Saw you're hiring an IT system administrator. ByteChef gives that team an open-source, self-hosted way to automate policy, claims and branch workflows across Croatia and Italy, with no per-task fees.</t>
  </si>
  <si>
    <t xml:space="preserve">Tomislav Novačić (President of the Board)</t>
  </si>
  <si>
    <t xml:space="preserve">Specijalna bolnica AGRAM (formerly Poliklinika Sunce)</t>
  </si>
  <si>
    <t xml:space="preserve">agram-bolnica.hr</t>
  </si>
  <si>
    <t xml:space="preserve">Zagreb (8 sites)</t>
  </si>
  <si>
    <t xml:space="preserve">Private healthcare</t>
  </si>
  <si>
    <t xml:space="preserve">Croatia's largest private healthcare network; 1M+ services a year</t>
  </si>
  <si>
    <t xml:space="preserve">174 permanent clinicians; 201–500 (LinkedIn (https://hr.linkedin.com/company/specijalna-bolnica-agram))</t>
  </si>
  <si>
    <t xml:space="preserve">Agram-group IT ad asks for experience with PACS/RIS systems (Carestream, syngo.via, ISSA) and Siemens, Philips and Dräger equipment (careers (https://www.agramlife.hr/karijera/)); online booking across 8 sites</t>
  </si>
  <si>
    <t xml:space="preserve">Special-category patient data; NIS2</t>
  </si>
  <si>
    <t xml:space="preserve">Saw you're hiring IT staff to run PACS/RIS across 8 sites. ByteChef can automate booking, results and reporting flows between those systems on your own servers, so patient data never leaves your network.</t>
  </si>
  <si>
    <t xml:space="preserve">Mladen Jukić (Chief Director)</t>
  </si>
  <si>
    <t xml:space="preserve">EOS Matrix</t>
  </si>
  <si>
    <t xml:space="preserve">hr.eos-solutions.com</t>
  </si>
  <si>
    <t xml:space="preserve">Debt collection</t>
  </si>
  <si>
    <t xml:space="preserve">Croatia's largest receivables collection and purchase centre (EOS Group)</t>
  </si>
  <si>
    <t xml:space="preserve">248 (2025) (CompanyWall (https://www.companywall.hr/tvrtka/eos-matrix-doo/MMxzA0KC))</t>
  </si>
  <si>
    <t xml:space="preserve">Customer self-service portal, call centre and several payment channels; in-house ICT and a database-development specialist (careers (http://hr.eos-solutions.com/career))</t>
  </si>
  <si>
    <t xml:space="preserve">ISO 27001; HNB-licensed credit servicer</t>
  </si>
  <si>
    <t xml:space="preserve">Your portal, call centre and payment channels all feed collection workflows. ByteChef automates them inside your ISO 27001 perimeter, with AI agents and human approvals and no per-task pricing.</t>
  </si>
  <si>
    <t xml:space="preserve">Bernhard Melischnig (Management)</t>
  </si>
  <si>
    <t xml:space="preserve">InterCapital</t>
  </si>
  <si>
    <t xml:space="preserve">inter.capital</t>
  </si>
  <si>
    <t xml:space="preserve">Investment banking / asset management</t>
  </si>
  <si>
    <t xml:space="preserve">Independent CEE investment firm; the region's only Eurex member</t>
  </si>
  <si>
    <t xml:space="preserve">51–200 (LinkedIn (https://hr.linkedin.com/company/intercapital))</t>
  </si>
  <si>
    <t xml:space="preserve">Set up InterCapital Digital Wealth Management in May 2025 (CompanyWall (https://www.companywall.hr/tvrtka/intercapital-digital-wealth-management-doo/MMUPrUiq)); runs the "Genius" digital product</t>
  </si>
  <si>
    <t xml:space="preserve">Investment firm under DORA</t>
  </si>
  <si>
    <t xml:space="preserve">With the new digital wealth business and Genius, ByteChef can automate onboarding, KYC and reporting flows with AI agents on your own infrastructure, which is DORA-friendly and has no per-task fees.</t>
  </si>
  <si>
    <t xml:space="preserve">Ivan Kurtović (CEO)</t>
  </si>
  <si>
    <t xml:space="preserve">GA Croatia</t>
  </si>
  <si>
    <t xml:space="preserve">unknown (Renault importer per ad)</t>
  </si>
  <si>
    <t xml:space="preserve">Automotive import / distribution</t>
  </si>
  <si>
    <t xml:space="preserve">High-revenue automotive distributor with a small team</t>
  </si>
  <si>
    <t xml:space="preserve">53 (CompanyWall (https://www.companywall.hr/pretraga?n=ga%20croatia))</t>
  </si>
  <si>
    <t xml:space="preserve">"Business Process Development Specialist" to run process-automation projects on Power Platform and SharePoint, Jun 2026 (MojPosao (https://mojposao.hr/posao/62a2b31b-83a4-4d0a-bf8c-b85ba14a8d34/strucnjak-za-razvoj-poslovnih-procesa-m-z))</t>
  </si>
  <si>
    <t xml:space="preserve">2/1/3/0/0</t>
  </si>
  <si>
    <t xml:space="preserve">Saw you're hiring someone to run process automation on Power Platform. ByteChef is an open-source alternative with AI agents and approvals built in and no per-flow licensing.</t>
  </si>
  <si>
    <t xml:space="preserve">Plinacro</t>
  </si>
  <si>
    <t xml:space="preserve">plinacro.hr</t>
  </si>
  <si>
    <t xml:space="preserve">Gas transmission operator (state-owned)</t>
  </si>
  <si>
    <t xml:space="preserve">National gas TSO</t>
  </si>
  <si>
    <t xml:space="preserve">263 (2024) (Fina (https://infobiz.fina.hr/tvrtka/plinacro-d-o-o/OIB-69401829750))</t>
  </si>
  <si>
    <t xml:space="preserve">ICT and information-security specialist calls, Aug–Sep 2026 (archive (https://www.plinacro.hr/default.aspx?id=120))</t>
  </si>
  <si>
    <t xml:space="preserve">NIS2 essential entity; dedicated information-security sector</t>
  </si>
  <si>
    <t xml:space="preserve">Saw you're adding ICT and cybersecurity staff this autumn. ByteChef runs fully on-prem with audit trails and human approvals, so you can automate internal workflows within NIS2 rules.</t>
  </si>
  <si>
    <t xml:space="preserve">Ivan Radoš (Director, Information Security)</t>
  </si>
  <si>
    <t xml:space="preserve">Jadranska vrata (AGCT)</t>
  </si>
  <si>
    <t xml:space="preserve">ictsi.hr</t>
  </si>
  <si>
    <t xml:space="preserve">Container terminal</t>
  </si>
  <si>
    <t xml:space="preserve">Rijeka container terminal (ICTSI 51%, Luka Rijeka 49%)</t>
  </si>
  <si>
    <t xml:space="preserve">232 (CompanyWall (https://www.companywall.hr/pretraga?n=jadranska%20vrata))</t>
  </si>
  <si>
    <t xml:space="preserve">Runs NAVIS N4 TOS, Portunus truck appointments and a customer portal side by side (site (https://www.ictsi.hr/en/onama))</t>
  </si>
  <si>
    <t xml:space="preserve">Port operator, NIS2 transport; foreign-controlled, so check local IT autonomy</t>
  </si>
  <si>
    <t xml:space="preserve">With NAVIS, Portunus and your customer portal all running side by side, ByteChef can move data between them and run AI agents in your own environment, with no per-execution fees.</t>
  </si>
  <si>
    <t xml:space="preserve">Goran Manfreda (Management Board)</t>
  </si>
  <si>
    <t xml:space="preserve">Radnik</t>
  </si>
  <si>
    <t xml:space="preserve">radnik.hr</t>
  </si>
  <si>
    <t xml:space="preserve">Križevci</t>
  </si>
  <si>
    <t xml:space="preserve">Construction (+ quarrying, gas supply, transport)</t>
  </si>
  <si>
    <t xml:space="preserve">Construction and hydro-engineering group with 7 subsidiaries, active in HR and DE</t>
  </si>
  <si>
    <t xml:space="preserve">350–415 (CompanyWall (https://www.companywall.hr/pretraga?n=radnik%20d.d.))</t>
  </si>
  <si>
    <t xml:space="preserve">Hired a Head of IT to organise the department and lead information-system rollouts (MojPosao (https://mojposao.hr/posao/68408451-d31d-11ef-a705-02f6c82cbffd/voditelj-informatike-m-z))</t>
  </si>
  <si>
    <t xml:space="preserve">Gas-supply line falls under NIS2 energy (inferred)</t>
  </si>
  <si>
    <t xml:space="preserve">Saw you recently built out an IT department to roll out information systems across the group. ByteChef could link construction, quarry, gas and hospitality systems in one self-hosted engine.</t>
  </si>
  <si>
    <t xml:space="preserve">Mirko Habijanec (President of the Board)</t>
  </si>
  <si>
    <t xml:space="preserve">Luka Ploče</t>
  </si>
  <si>
    <t xml:space="preserve">luka-ploce.hr</t>
  </si>
  <si>
    <t xml:space="preserve">Ploče</t>
  </si>
  <si>
    <t xml:space="preserve">Port operator</t>
  </si>
  <si>
    <t xml:space="preserve">Bulk and general cargo port with forwarding, shipping and marine-service subsidiaries</t>
  </si>
  <si>
    <t xml:space="preserve">355 (CompanyWall (https://www.companywall.hr/pretraga?n=luka%20plo%C4%8De))</t>
  </si>
  <si>
    <t xml:space="preserve">In-house e-transaction portal and IT support department (site (https://www.luka-ploce.hr/))</t>
  </si>
  <si>
    <t xml:space="preserve">Port operator, NIS2 transport</t>
  </si>
  <si>
    <t xml:space="preserve">Your e-portal plus three subsidiaries means a lot of data to pass around. ByteChef automates that on your own servers with AI agents and no per-task cost.</t>
  </si>
  <si>
    <t xml:space="preserve">Marin Bodrušić (Board member, finance and IT)</t>
  </si>
  <si>
    <t xml:space="preserve">KOER</t>
  </si>
  <si>
    <t xml:space="preserve">koer.com</t>
  </si>
  <si>
    <t xml:space="preserve">Energy (virtual power plant / BESS)</t>
  </si>
  <si>
    <t xml:space="preserve">Built Croatia's first virtual power plant</t>
  </si>
  <si>
    <t xml:space="preserve">18 (CompanyWall (https://www.companywall.hr/pretraga?n=koer))</t>
  </si>
  <si>
    <t xml:space="preserve">Hiring a senior .NET developer for its energy software, Aug 2026 (tportal (https://www.tportal.hr/tehno/clanak/it-jevci-trazite-posao-provjerili-smo-tko-zaposljava-i-sto-se-nudi-20260801))</t>
  </si>
  <si>
    <t xml:space="preserve">Regulated grid-flexibility services (inferred)</t>
  </si>
  <si>
    <t xml:space="preserve">Saw you're hiring a senior .NET dev for the VPP platform. ByteChef could run your back-office and operator workflows and AI agents self-hosted, so your engineers can stay on the core platform.</t>
  </si>
  <si>
    <t xml:space="preserve">HNK Hajduk</t>
  </si>
  <si>
    <t xml:space="preserve">hajduk.hr</t>
  </si>
  <si>
    <t xml:space="preserve">Sports club</t>
  </si>
  <si>
    <t xml:space="preserve">Football club with about 119k members, run with the Naš Hajduk association</t>
  </si>
  <si>
    <t xml:space="preserve">95–120 (Fina (https://infobiz.fina.hr/tvrtka/hnk-hajduk-s-d-d/OIB-04785516590))</t>
  </si>
  <si>
    <t xml:space="preserve">Naš Hajduk recruiting a Salesforce CRM analyst/admin (nashajduk.hr (https://nashajduk.hr/)); membership runs on Salesforce, built with Maven Mule (Nacional (https://www.nacional.hr/tehnoloski-pogled-na-clanstvo-u-hajduku/))</t>
  </si>
  <si>
    <t xml:space="preserve">Personal data of about 119k members</t>
  </si>
  <si>
    <t xml:space="preserve">Saw Naš Hajduk is looking for a Salesforce CRM analyst/admin. ByteChef is open-source and self-hosted, and it can sync Salesforce with ticketing, the web shop and payments for 119k members, with no per-task bill.</t>
  </si>
  <si>
    <t xml:space="preserve">Teo Prkić (Head of Membership (2021))</t>
  </si>
  <si>
    <t xml:space="preserve">Terrakom</t>
  </si>
  <si>
    <t xml:space="preserve">terrakom.hr</t>
  </si>
  <si>
    <t xml:space="preserve">Telecom / ISP</t>
  </si>
  <si>
    <t xml:space="preserve">Independent cable ISP: internet, phone, TV</t>
  </si>
  <si>
    <t xml:space="preserve">25; €8.1M revenue 2025 (Fina (https://infobiz.fina.hr/tvrtka/terrakom-d-o-o/OIB-29050776382))</t>
  </si>
  <si>
    <t xml:space="preserve">Self-built ordering and availability platform; provisioning, billing and support at about 25k households with 25 staff (inferred) (Lider (https://lidermedia.hr/aktualno/tvrtke-i-trzista/poslovna-scena/terrakom-srezali-troskove-ulozili-u-infrastrukturu-i-rasli-za-213-posto-126136/))</t>
  </si>
  <si>
    <t xml:space="preserve">Own data centre; regulated telecom operator</t>
  </si>
  <si>
    <t xml:space="preserve">A 25-person ISP with its own data centre is the ideal place to self-host ByteChef. It can automate order-to-activation, billing and support tickets with no per-task fees.</t>
  </si>
  <si>
    <t xml:space="preserve">Igor Tatarević (Owner / Director)</t>
  </si>
  <si>
    <t xml:space="preserve">Gideon</t>
  </si>
  <si>
    <t xml:space="preserve">gideon.ai</t>
  </si>
  <si>
    <t xml:space="preserve">Robotics (autonomous forklifts)</t>
  </si>
  <si>
    <t xml:space="preserve">AI and 3D-vision autonomous robots for logistics and manufacturing</t>
  </si>
  <si>
    <t xml:space="preserve">79 (CompanyWall (https://www.companywall.hr/pretraga?n=gideon%20brothers))</t>
  </si>
  <si>
    <t xml:space="preserve">Fleet Platform engineer to "build integrations with customer systems (WMS, PLCs, site IT infrastructure)" (job (https://erp.gideon.ai/jobs/software-engineer-robot-fleet-platform-croatia-471)); support specialist to log every customer issue (job (https://erp.gideon.ai/jobs/customer-support-specialist-croatia-475))</t>
  </si>
  <si>
    <t xml:space="preserve">Runs its own ERP (erp.gideon.ai, appears to be Odoo); industrial customer site IT</t>
  </si>
  <si>
    <t xml:space="preserve">Saw you're hiring a Fleet Platform engineer to build WMS/PLC integrations and a support specialist to track every customer issue. ByteChef is open-source and self-hostable, with 190+ connectors and AI agents with human approvals, so support-to-Jira-to-ERP flows and customer-site integrations don't need custom glue each time.</t>
  </si>
  <si>
    <t xml:space="preserve">Iva Vukina (Chief Commercial Officer)</t>
  </si>
  <si>
    <t xml:space="preserve">AdriaScan</t>
  </si>
  <si>
    <t xml:space="preserve">adria-scan.com</t>
  </si>
  <si>
    <t xml:space="preserve">Sveta Nedelja</t>
  </si>
  <si>
    <t xml:space="preserve">Hospitality tech (ID scanning)</t>
  </si>
  <si>
    <t xml:space="preserve">Passport/ID scanning, a CONNECTOR integration layer and digital guestbook for 3,800+ hotels in 120+ countries</t>
  </si>
  <si>
    <t xml:space="preserve">32; €4.4M revenue (CompanyWall (https://www.companywall.hr/pretraga?n=adriascan))</t>
  </si>
  <si>
    <t xml:space="preserve">Multilingual B2B support hiring, Salesforce preferred (job ad (https://hr.linkedin.com/jobs/view/customer-support-specialist-french-speaker-at-adriascan-4459440799)); product CONNECTOR for "data exchange, automation" (site (https://www.adria-scan.com/))</t>
  </si>
  <si>
    <t xml:space="preserve">Passport and ID data; GDPR</t>
  </si>
  <si>
    <t xml:space="preserve">Saw you're growing multilingual B2B support on Salesforce for 3,800 hotels. ByteChef is an open-source automation and AI-agent engine you can self-host, so ticket routing and CRM/PMS syncs never move passport data into a third-party iPaaS, and there's no per-task fee.</t>
  </si>
  <si>
    <t xml:space="preserve">Zračna luka Split</t>
  </si>
  <si>
    <t xml:space="preserve">split-airport.hr</t>
  </si>
  <si>
    <t xml:space="preserve">Kaštel Štafilić</t>
  </si>
  <si>
    <t xml:space="preserve">Airport</t>
  </si>
  <si>
    <t xml:space="preserve">Croatia's second-busiest airport</t>
  </si>
  <si>
    <t xml:space="preserve">464 (2025, near the cap) (Fina (https://infobiz.fina.hr/tvrtka/zracna-luka-split-d-o-o/OIB-83462362655))</t>
  </si>
  <si>
    <t xml:space="preserve">In-house IT team (8 specialists handled the July 2024 Akira ransomware recovery) (Lider (https://lidermedia.hr/tvrtke-i-trzista/it-strucnjaci-do-napada-na-splitski-aerodrom-ne-bi-doslo-da-je-bilo-osnovne-sigurnosne-kontrole-158243/))</t>
  </si>
  <si>
    <t xml:space="preserve">Critical infrastructure, NIS2; ransomware history</t>
  </si>
  <si>
    <t xml:space="preserve">After the 2024 ransomware attack, it makes sense to keep operational automation inside your own perimeter. ByteChef is open-source, self-hosted and has AI agents with human approvals built in, and no per-task fees.</t>
  </si>
  <si>
    <t xml:space="preserve">Josip Čorić (Director (interim))</t>
  </si>
  <si>
    <t xml:space="preserve">Blitz-CineStar</t>
  </si>
  <si>
    <t xml:space="preserve">cinestarcinemas.hr</t>
  </si>
  <si>
    <t xml:space="preserve">Cinemas / leisure</t>
  </si>
  <si>
    <t xml:space="preserve">Leading cinema operator in Croatia, BiH and Serbia</t>
  </si>
  <si>
    <t xml:space="preserve">236 (2025) (Fina (https://infobiz.fina.hr/tvrtka/blitz-cinestar-d-o-o/OIB-24146311117))</t>
  </si>
  <si>
    <t xml:space="preserve">Hiring an infrastructure sysadmin (Windows Server, Hyper-V, O365, PowerShell, T-SQL) with a digitalisation brief (tportal (https://www.tportal.hr/tehno/clanak/it-jevci-trazite-posao-izdvojili-smo-nekoliko-zanimljivih-oglasa-20260914)); own customer-service team</t>
  </si>
  <si>
    <t xml:space="preserve">On-prem Hyper-V estate; stated data-protection focus</t>
  </si>
  <si>
    <t xml:space="preserve">Saw you're hiring an infrastructure admin to drive digitalisation. ByteChef runs on your own Hyper-V estate and automates ticketing, customer-service and back-office flows with AI agents, with no per-task fees.</t>
  </si>
  <si>
    <t xml:space="preserve">Tomislav Vuić (Director of Digital R&amp;D (Blitz group))</t>
  </si>
  <si>
    <t xml:space="preserve">Akromion</t>
  </si>
  <si>
    <t xml:space="preserve">akromion.hr</t>
  </si>
  <si>
    <t xml:space="preserve">Private hospital (orthopaedics)</t>
  </si>
  <si>
    <t xml:space="preserve">Croatia's largest private orthopaedic and trauma hospital</t>
  </si>
  <si>
    <t xml:space="preserve">about 122–130 (Fina (https://infobiz.fina.hr/tvrtka/akromion/OIB-94619350745))</t>
  </si>
  <si>
    <t xml:space="preserve">Runs Medicus HIS, ISSA PACS, Argosy ERP, Zabbix and SharePoint side by side (IS page (https://www.akromion.hr/informacijski-sustav-bolnice-akromion/), seen in a search snippet)</t>
  </si>
  <si>
    <t xml:space="preserve">Patient data (GDPR art. 9); already self-hosts tooling</t>
  </si>
  <si>
    <t xml:space="preserve">You run Medicus, ISSA, Argosy and SharePoint side by side. ByteChef can connect them on your own servers, keeping patient data in-house, and add AI agents with human approval steps, with no per-task fees.</t>
  </si>
  <si>
    <t xml:space="preserve">Nikola Čičak (Director and co-owner)</t>
  </si>
  <si>
    <t xml:space="preserve">KEKS Pay</t>
  </si>
  <si>
    <t xml:space="preserve">kekspay.hr</t>
  </si>
  <si>
    <t xml:space="preserve">Fintech (P2P payments)</t>
  </si>
  <si>
    <t xml:space="preserve">Erste's P2P payments app, spun out in 2025 and expanding regionally; 500k+ users</t>
  </si>
  <si>
    <t xml:space="preserve">13 (2025) (CompanyWall (https://www.companywall.hr/tvrtka/keks-pay-doo/MMUIWKi0))</t>
  </si>
  <si>
    <t xml:space="preserve">New entity building operations from scratch while entering new markets (financije.hr (https://financije.hr/keks-pay-postaje-samostalna-tvrtka/))</t>
  </si>
  <si>
    <t xml:space="preserve">Regulated payments in a bank group</t>
  </si>
  <si>
    <t xml:space="preserve">As a fresh spin-out heading into new markets, you're building ops from zero. ByteChef is open-source, self-hostable automation with AI agents, so onboarding, support and finance flows can grow without per-task pricing or data leaving your stack.</t>
  </si>
  <si>
    <t xml:space="preserve">Boris Blažević (Management board)</t>
  </si>
  <si>
    <t xml:space="preserve">ACI (Adriatic Croatia International Club)</t>
  </si>
  <si>
    <t xml:space="preserve">aci-marinas.com</t>
  </si>
  <si>
    <t xml:space="preserve">Opatija</t>
  </si>
  <si>
    <t xml:space="preserve">Marinas (22)</t>
  </si>
  <si>
    <t xml:space="preserve">State-controlled marina network; concessions to 2058</t>
  </si>
  <si>
    <t xml:space="preserve">349 (end-2025) (annual report (https://eho.zse.hr/fileadmin/issuers/ACI/FI-ACI-2870e2f34468decbeca264036ccae517.pdf))</t>
  </si>
  <si>
    <t xml:space="preserve">New information systems at end-2023 described as a "significant change in business processes"; ongoing IT investment (same source)</t>
  </si>
  <si>
    <t xml:space="preserve">State entity of special interest; cyber risk in its governance code</t>
  </si>
  <si>
    <t xml:space="preserve">Your annual report says the new information systems changed processes across 22 marinas. ByteChef automates the work between those systems and adds AI agents with human approvals, self-hosted with no per-task fees.</t>
  </si>
  <si>
    <t xml:space="preserve">Ankica Kruljac (President of the Board)</t>
  </si>
  <si>
    <t xml:space="preserve">Zračna luka Pula</t>
  </si>
  <si>
    <t xml:space="preserve">airport-pula.hr</t>
  </si>
  <si>
    <t xml:space="preserve">Pula</t>
  </si>
  <si>
    <t xml:space="preserve">Regional airport, majority state-owned</t>
  </si>
  <si>
    <t xml:space="preserve">118 (FINA 2025) (Fina (https://infobiz.fina.hr/tvrtka/zracna-luka-pula-d-o-o/OIB-51946493681))</t>
  </si>
  <si>
    <t xml:space="preserve">"NextGen 5G Airports" smart-airport project (EU + HT); web check-in and shuttle booking (site (https://airport-pula.hr/))</t>
  </si>
  <si>
    <t xml:space="preserve">State-owned; transport is a NIS2 sector</t>
  </si>
  <si>
    <t xml:space="preserve">2/0/2/2/0</t>
  </si>
  <si>
    <t xml:space="preserve">With the NextGen 5G smart-airport project under way, ByteChef can run the operational workflows on top of it on your own servers, which suits NIS2 and has no per-task costs.</t>
  </si>
  <si>
    <t xml:space="preserve">Marko Ražem (Director)</t>
  </si>
  <si>
    <t xml:space="preserve">Penta</t>
  </si>
  <si>
    <t xml:space="preserve">penta-zagreb.hr</t>
  </si>
  <si>
    <t xml:space="preserve">Congress and event organiser</t>
  </si>
  <si>
    <t xml:space="preserve">Congress organiser that launched its own AI tool, Conwayo, in May 2026</t>
  </si>
  <si>
    <t xml:space="preserve">20; €12M revenue (CompanyWall (https://www.companywall.hr/tvrtka/penta-doo/MMwGCBD); entity match to confirm)</t>
  </si>
  <si>
    <t xml:space="preserve">Conwayo: AI that takes attendees through registration and payment on WhatsApp (Poslovni turizam (https://www.poslovniturizam.com/mice-magazin/tehnologija-turizam/conwayo-nova-ai-aplikacija-iz-pente-mijenja-nacin-prijava-na-kongrese-i-dogadanja/4853/))</t>
  </si>
  <si>
    <t xml:space="preserve">Medical-congress attendee data (inferred)</t>
  </si>
  <si>
    <t xml:space="preserve">2/1/2/0/1</t>
  </si>
  <si>
    <t xml:space="preserve">Conwayo shows you're already putting AI agents in front of attendees. ByteChef can run what happens after registration (invoicing, CRM, badge and hotel systems) self-hosted, with human-in-the-loop approvals and no per-task pricing.</t>
  </si>
  <si>
    <t xml:space="preserve">Stjepan Žunić (Owner and director)</t>
  </si>
  <si>
    <t xml:space="preserve">Index.hr (Index promocija)</t>
  </si>
  <si>
    <t xml:space="preserve">index.hr</t>
  </si>
  <si>
    <t xml:space="preserve">Digital media</t>
  </si>
  <si>
    <t xml:space="preserve">Croatia's largest independent news portal</t>
  </si>
  <si>
    <t xml:space="preserve">72–73; €8.17M revenue 2025 (Fina (https://infobiz.fina.hr/tvrtka/index-promocija-d-o-o/OIB-37502434016))</t>
  </si>
  <si>
    <t xml:space="preserve">Data Analyst ad: "optimise and automate data processing, analysis and presentation using AI tools", with DMP/CDP tools (LinkedIn (https://hr.linkedin.com/jobs/view/4454234125)); dedicated IT hiring track (jobs.index.hr (https://jobs.index.hr/))</t>
  </si>
  <si>
    <t xml:space="preserve">Reader data in DMP/CDP tools (GDPR)</t>
  </si>
  <si>
    <t xml:space="preserve">Saw you're hiring a Data Analyst to automate data processing with AI. ByteChef runs those pipelines and AI agents on your own servers, alongside ad ops and editorial tools, with no per-task pricing.</t>
  </si>
  <si>
    <t xml:space="preserve">Matija Babić (Director)</t>
  </si>
  <si>
    <t xml:space="preserve">A.G.S. Zagreb</t>
  </si>
  <si>
    <t xml:space="preserve">agsmovers.com</t>
  </si>
  <si>
    <t xml:space="preserve">Velika Gorica</t>
  </si>
  <si>
    <t xml:space="preserve">Relocation / logistics (AGS / Mobilitas group)</t>
  </si>
  <si>
    <t xml:space="preserve">Croatian branch of AGS Movers; hosts the group's international training team</t>
  </si>
  <si>
    <t xml:space="preserve">21 (CompanyWall (https://www.companywall.hr/tvrtka/ags-zagreb-doo/MM1TW4kq))</t>
  </si>
  <si>
    <t xml:space="preserve">"We use Microsoft PowerApps and Power Automate extensively", letting a small team support several thousand employees (MojPosao (https://mojposao.hr/posao/83af2e35-773f-43e2-b7a0-f25071943178/it-trainer-french-speaking-m-f))</t>
  </si>
  <si>
    <t xml:space="preserve">none found; foreign-owned, automation is group-wide</t>
  </si>
  <si>
    <t xml:space="preserve">Saw you're hiring an IT Trainer and lean heavily on Power Automate. ByteChef is an open-source, self-hosted alternative with AI agents and no per-flow licensing.</t>
  </si>
  <si>
    <t xml:space="preserve">Adriana Sabljak (Director)</t>
  </si>
  <si>
    <t xml:space="preserve">Polleo Sport (Polleo Adria)</t>
  </si>
  <si>
    <t xml:space="preserve">polleosport.talentlyft.com</t>
  </si>
  <si>
    <t xml:space="preserve">D2C / retail (sports nutrition)</t>
  </si>
  <si>
    <t xml:space="preserve">Supplement retailer and webshop with a loyalty app</t>
  </si>
  <si>
    <t xml:space="preserve">137; about €25.8M revenue (CompanyWall (https://www.companywall.hr/tvrtka/polleo-adria-doo/MMxfOQ0Y))</t>
  </si>
  <si>
    <t xml:space="preserve">CRM Specialist ad: Mailchimp/Klaviyo/HubSpot automation, plus email, SMS, WhatsApp and Viber journeys and the loyalty app (LinkedIn (https://hr.linkedin.com/jobs/view/crm-specialist-at-polleo-sport-4417516081))</t>
  </si>
  <si>
    <t xml:space="preserve">Loyalty and customer PII (the ad names GDPR); message volume</t>
  </si>
  <si>
    <t xml:space="preserve">2/1/1/1/0</t>
  </si>
  <si>
    <t xml:space="preserve">Your CRM role orchestrates email, SMS, Viber and loyalty-app journeys across several tools. ByteChef links your webshop, CRM and messaging channels in one self-hosted engine, so customer data stays under your control and volume never drives the bill.</t>
  </si>
  <si>
    <t xml:space="preserve">Oradian</t>
  </si>
  <si>
    <t xml:space="preserve">oradian.com</t>
  </si>
  <si>
    <t xml:space="preserve">Fintech (core-banking SaaS)</t>
  </si>
  <si>
    <t xml:space="preserve">Cloud core banking for lenders in emerging markets</t>
  </si>
  <si>
    <t xml:space="preserve">66 (Aug 2026)</t>
  </si>
  <si>
    <t xml:space="preserve">Weak: Scala/Java backend; no internal-automation evidence</t>
  </si>
  <si>
    <t xml:space="preserve">Serves regulated FIs; its own product is cloud SaaS, so a self-host preference is unproven</t>
  </si>
  <si>
    <t xml:space="preserve">2/2/0/1/0</t>
  </si>
  <si>
    <t xml:space="preserve">Your team builds core banking on the JVM. ByteChef is a JVM-native, self-hostable workflow and AI-agent engine for the integration and ops automation around it, without per-execution pricing.</t>
  </si>
  <si>
    <t xml:space="preserve">Rikard Pavelić (CTO)</t>
  </si>
  <si>
    <t xml:space="preserve">Bitcoin Store (Digital Assets)</t>
  </si>
  <si>
    <t xml:space="preserve">bitstore.net</t>
  </si>
  <si>
    <t xml:space="preserve">Crypto (CASP)</t>
  </si>
  <si>
    <t xml:space="preserve">Crypto trading app plus physical exchange offices; third Croatian MiCA licence (Jun 2026)</t>
  </si>
  <si>
    <t xml:space="preserve">23 (2024) (financije.hr (https://financije.hr/digital-assets-dobio-hanfinu-mica-licencu-za-pruzanje-kriptousluga/))</t>
  </si>
  <si>
    <t xml:space="preserve">Weak: own wallet app and office network; no automation ads found</t>
  </si>
  <si>
    <t xml:space="preserve">MiCA CASP; in DORA scope</t>
  </si>
  <si>
    <t xml:space="preserve">2/1/0/2/0</t>
  </si>
  <si>
    <t xml:space="preserve">With MiCA and DORA now live for Bitcoin Store, ByteChef can automate KYC, reporting and office operations, with human approval steps, entirely on your own infrastructure.</t>
  </si>
  <si>
    <t xml:space="preserve">Tomislav Vajić (Founder / Director)</t>
  </si>
  <si>
    <t xml:space="preserve">Split Parking</t>
  </si>
  <si>
    <t xml:space="preserve">splitparking.hr</t>
  </si>
  <si>
    <t xml:space="preserve">City-owned parking company</t>
  </si>
  <si>
    <t xml:space="preserve">Garages, street parking, public bikes and towing in Split</t>
  </si>
  <si>
    <t xml:space="preserve">176 (2025) (Fina (https://infobiz.fina.hr/tvrtka/split-parking-d-o-o/OIB-90551978160))</t>
  </si>
  <si>
    <t xml:space="preserve">Smart Splitparking: sensors, app, SMS/card payments, PayDo integration, number-plate registration, tow reporting (site (https://www.splitparking.hr/smart-splitparking))</t>
  </si>
  <si>
    <t xml:space="preserve">Number-plate and payment data</t>
  </si>
  <si>
    <t xml:space="preserve">Smart Splitparking already joins sensors, payments and tow reports. Open-source ByteChef, hosted by you, can automate the back office behind it, such as fines, refunds and reports, with no per-task pricing.</t>
  </si>
  <si>
    <t xml:space="preserve">Davor Matošić (Director (successor search open))</t>
  </si>
  <si>
    <t xml:space="preserve">Badel 1862</t>
  </si>
  <si>
    <t xml:space="preserve">badel1862.hr</t>
  </si>
  <si>
    <t xml:space="preserve">Spirits, wine, beverages</t>
  </si>
  <si>
    <t xml:space="preserve">Croatia's oldest spirits brand</t>
  </si>
  <si>
    <t xml:space="preserve">249–307 (2025) (Fina (https://infobiz.fina.hr/tvrtka/badel-1862-d-d/OIB-36749512860))</t>
  </si>
  <si>
    <t xml:space="preserve">Business analyst hire for the SAP S/4HANA rollout and support (MojPosao (https://mojposao.hr/posao/d390571a-a610-11ee-9a53-02d5740d71bf/junior-business-analyst-m-z))</t>
  </si>
  <si>
    <t xml:space="preserve">2/1/2/0/0</t>
  </si>
  <si>
    <t xml:space="preserve">With S/4HANA running, the next gains are the flows around it: distributors, e-invoicing, webshop and HoReCa orders. ByteChef automates those on your own servers, with AI agents and no per-task pricing.</t>
  </si>
  <si>
    <t xml:space="preserve">Darko Knez (President of the Board)</t>
  </si>
  <si>
    <t xml:space="preserve">Franck</t>
  </si>
  <si>
    <t xml:space="preserve">franck.eu</t>
  </si>
  <si>
    <t xml:space="preserve">Coffee and tea</t>
  </si>
  <si>
    <t xml:space="preserve">Croatian coffee and tea producer</t>
  </si>
  <si>
    <t xml:space="preserve">457–483 (2021–2023; newer figure not found)</t>
  </si>
  <si>
    <t xml:space="preserve">Junior SAP Expert to "monitor data flow between systems" (FER Karijere (https://karijere.fer.hr/franck-junior-sap-strucnjak-m-z/)); SAP MM/WM consultant</t>
  </si>
  <si>
    <t xml:space="preserve">Saw your SAP team monitors data flows between systems. Open-source ByteChef can automate and watch those flows on infrastructure you control, with AI agents and no per-execution fees.</t>
  </si>
  <si>
    <t xml:space="preserve">Ivan Artuković (Director (verify))</t>
  </si>
  <si>
    <t xml:space="preserve">Pivovara Medvedgrad</t>
  </si>
  <si>
    <t xml:space="preserve">pivovara-medvedgrad.hr</t>
  </si>
  <si>
    <t xml:space="preserve">Craft brewery + pubs</t>
  </si>
  <si>
    <t xml:space="preserve">Zagreb craft brewery with its own pubs and a webshop</t>
  </si>
  <si>
    <t xml:space="preserve">96 incl. pubs (Journal.hr (https://www.journal.hr/lifestyle/gastro/pivovara-medvedgrad-4-brata/))</t>
  </si>
  <si>
    <t xml:space="preserve">Co-owner "digitalises all processes"; first Croatian brewery webshop with cold-beer delivery (same source)</t>
  </si>
  <si>
    <t xml:space="preserve">With brewery, pubs and webshop all digitalised, ByteChef can connect orders, stock and deliveries in one open-source engine you host yourselves, with AI agents and no per-task bills.</t>
  </si>
  <si>
    <t xml:space="preserve">Petar Nauković (Co-owner, digitalisation lead)</t>
  </si>
  <si>
    <t xml:space="preserve">Agram banka</t>
  </si>
  <si>
    <t xml:space="preserve">agrambanka.hr</t>
  </si>
  <si>
    <t xml:space="preserve">Croatian-owned commercial bank (Agram group)</t>
  </si>
  <si>
    <t xml:space="preserve">174 FTE (2025) (HANFA filing (https://www.hanfa.hr/SRPI/HR/2026/2026_04_23-1223105_pdf.pdf))</t>
  </si>
  <si>
    <t xml:space="preserve">Management report names business-process automation and new technology as efficiency priorities (same source)</t>
  </si>
  <si>
    <t xml:space="preserve">DORA; ongoing risk-system and IT-infrastructure investment</t>
  </si>
  <si>
    <t xml:space="preserve">2/0/1/2/0</t>
  </si>
  <si>
    <t xml:space="preserve">Your 2025 report names business-process automation as a priority. ByteChef is an open-source, self-hosted engine that lets the bank automate it on its own infrastructure, with AI agents and approval steps and no per-task licensing.</t>
  </si>
  <si>
    <t xml:space="preserve">Partner banka</t>
  </si>
  <si>
    <t xml:space="preserve">paba.hr</t>
  </si>
  <si>
    <t xml:space="preserve">100% Croatian-owned bank for corporate and SME clients</t>
  </si>
  <si>
    <t xml:space="preserve">128 (paba.hr (https://www.paba.hr/default.aspx?id=25))</t>
  </si>
  <si>
    <t xml:space="preserve">Several digital channels (corporate e-banking, retail internet banking); multi-system ops inferred</t>
  </si>
  <si>
    <t xml:space="preserve">A 128-person bank serving businesses across several channels can automate onboarding, payment exceptions and reporting with ByteChef: open source, on your own servers, no per-task fees.</t>
  </si>
  <si>
    <t xml:space="preserve">Imex banka</t>
  </si>
  <si>
    <t xml:space="preserve">imexbanka.hr</t>
  </si>
  <si>
    <t xml:space="preserve">Fully Croatian-owned bank with 8 branches</t>
  </si>
  <si>
    <t xml:space="preserve">about 126 (unconfirmed)</t>
  </si>
  <si>
    <t xml:space="preserve">ImexM mobile and Imex@NET internet banking (imexbanka.hr (https://www.imexbanka.hr/o-nama)); multi-system ops inferred</t>
  </si>
  <si>
    <t xml:space="preserve">With ImexM and Imex@NET in front of the core system, ByteChef can automate the back-office flows between them on-prem, with AI agents and human approvals, at a flat cost.</t>
  </si>
  <si>
    <t xml:space="preserve">Dijana Kalinić (Board member)</t>
  </si>
  <si>
    <t xml:space="preserve">Altpro</t>
  </si>
  <si>
    <t xml:space="preserve">altpro.com</t>
  </si>
  <si>
    <t xml:space="preserve">Railway signalling</t>
  </si>
  <si>
    <t xml:space="preserve">Safety-critical rail signalling, used in about 50 countries</t>
  </si>
  <si>
    <t xml:space="preserve">223 (poslovna (https://poslovna.hr/lite/altpro/81519/subjekti.aspx))</t>
  </si>
  <si>
    <t xml:space="preserve">R&amp;D, production and service across two sites; hiring embedded engineers (FER (https://karijere.fer.hr/altpro-junior-embedded-software-engineer-m-z/))</t>
  </si>
  <si>
    <t xml:space="preserve">Safety-critical; on-prem likely (inferred)</t>
  </si>
  <si>
    <t xml:space="preserve">2/2/1/0/0</t>
  </si>
  <si>
    <t xml:space="preserve">With exports to about 50 countries and production across two sites, ByteChef could automate the order-to-service back office on your own servers, with no per-task fees.</t>
  </si>
  <si>
    <t xml:space="preserve">Sika Croatia</t>
  </si>
  <si>
    <t xml:space="preserve">hrv.sika.com</t>
  </si>
  <si>
    <t xml:space="preserve">Construction chemicals (Sika group)</t>
  </si>
  <si>
    <t xml:space="preserve">Croatian arm of Swiss Sika</t>
  </si>
  <si>
    <t xml:space="preserve">53 (CompanyWall (https://www.companywall.hr/pretraga?n=sika%20croatia))</t>
  </si>
  <si>
    <t xml:space="preserve">"SAP Champion in Supply Chain and Finance" (SAP ByDesign) hire, Jul 2026 (MojPosao (https://mojposao.hr/posao/71e54974-9bd1-472d-8a97-ee329b9f1d28/sap-champion-in-supply-chain-and-finance-m-f))</t>
  </si>
  <si>
    <t xml:space="preserve">unknown; group IT likely decides</t>
  </si>
  <si>
    <t xml:space="preserve">Saw you're hiring an SAP ByDesign champion. ByteChef can automate the hand-offs around ByDesign (orders, logistics, finance) with AI agents and no per-task pricing.</t>
  </si>
  <si>
    <t xml:space="preserve">Dekada komunikacije</t>
  </si>
  <si>
    <t xml:space="preserve">dekada.hr</t>
  </si>
  <si>
    <t xml:space="preserve">Contact centre / BPO</t>
  </si>
  <si>
    <t xml:space="preserve">Multilingual contact centre for DACH clients; sites in HR, MK, BA, TR</t>
  </si>
  <si>
    <t xml:space="preserve">200+ across branches (dekada.hr (https://www.dekada.hr/))</t>
  </si>
  <si>
    <t xml:space="preserve">Many clients' CRM and helpdesk systems across 4 countries (inferred) (o-nama (https://www.dekada.hr/o-nama))</t>
  </si>
  <si>
    <t xml:space="preserve">ISO 27001, ISO 18295, ISO 9001</t>
  </si>
  <si>
    <t xml:space="preserve">With ISO 27001 and clients across DACH, ByteChef lets you self-host AI triage agents and connect each client's helpdesk, without per-ticket automation costs eating your margin.</t>
  </si>
  <si>
    <t xml:space="preserve">Verne (Project 3 Mobility)</t>
  </si>
  <si>
    <t xml:space="preserve">verne.hr</t>
  </si>
  <si>
    <t xml:space="preserve">Autonomous mobility (robotaxi)</t>
  </si>
  <si>
    <t xml:space="preserve">Launched Europe's first commercial robotaxi service in Zagreb (Apr 2026) with Pony.ai; Uber integration to follow</t>
  </si>
  <si>
    <t xml:space="preserve">107 (CompanyWall (https://www.companywall.hr/pretraga?n=project%203%20mobility))</t>
  </si>
  <si>
    <t xml:space="preserve">Live robotaxi app with a three-way Uber/Pony.ai partnership (TNW (https://thenextweb.com/news/verne-europe-first-commercial-robotaxi-zagreb)); multi-system ops inferred</t>
  </si>
  <si>
    <t xml:space="preserve">Regulated AV operations</t>
  </si>
  <si>
    <t xml:space="preserve">Congrats on the Zagreb launch. As the Verne app, Uber and Pony.ai feeds and fleet ops multiply, ByteChef gives you an open-source, self-hosted engine with AI agents and human approvals to wire them together under your own regulatory control, with no per-execution billing.</t>
  </si>
  <si>
    <t xml:space="preserve">Marko Pejković (Co-founder and CEO)</t>
  </si>
  <si>
    <t xml:space="preserve">Ljekarne Prima Pharme</t>
  </si>
  <si>
    <t xml:space="preserve">primapharme.hr</t>
  </si>
  <si>
    <t xml:space="preserve">Pharmacy retail (Medika group)</t>
  </si>
  <si>
    <t xml:space="preserve">Croatia's largest pharmacy chain (80+ outlets)</t>
  </si>
  <si>
    <t xml:space="preserve">371–443 (2025) (Fina (https://infobiz.fina.hr/tvrtka/ljekarne-prima-pharme/OIB-28285339387))</t>
  </si>
  <si>
    <t xml:space="preserve">Pharmeria platform for availability and reservations across 300+ locations, part of the group's "continuous digital transformation" (tportal (https://www.tportal.hr/biznis/clanak/nasa-najstarija-veledrogerija-pokrenula-je-digitalnu-platformu-pharmeria-hr-provjerili-smo-sto-donose-na-nase-trziste-20221111))</t>
  </si>
  <si>
    <t xml:space="preserve">Health and prescription data (inferred)</t>
  </si>
  <si>
    <t xml:space="preserve">Pharmeria already ties stock and reservations to 80+ pharmacies. ByteChef can automate the operational flows around it, with AI agents and on your own infrastructure, without per-task pricing.</t>
  </si>
  <si>
    <t xml:space="preserve">Ivan Gregov (Director)</t>
  </si>
  <si>
    <t xml:space="preserve">Specijalna bolnica Sv. Katarina</t>
  </si>
  <si>
    <t xml:space="preserve">svkatarina.hr</t>
  </si>
  <si>
    <t xml:space="preserve">Private hospital</t>
  </si>
  <si>
    <t xml:space="preserve">Large private hospital with 18 centres of excellence and international patients</t>
  </si>
  <si>
    <t xml:space="preserve">149–160 (Fina (https://infobiz.fina.hr/tvrtka/specijalna-bolnica-sv-katarina/OIB-41170172944))</t>
  </si>
  <si>
    <t xml:space="preserve">Hiring contact-centre health advisors and admin staff (careers page, seen in a search snippet)</t>
  </si>
  <si>
    <t xml:space="preserve">Patient data (GDPR art. 9)</t>
  </si>
  <si>
    <t xml:space="preserve">Saw you're hiring contact-centre health advisors. ByteChef's AI agents can handle intake and scheduling triage with human approvals, self-hosted so patient data stays in-house, with no per-task fees.</t>
  </si>
  <si>
    <t xml:space="preserve">Poliklinika IMED</t>
  </si>
  <si>
    <t xml:space="preserve">imed.hr</t>
  </si>
  <si>
    <t xml:space="preserve">Dental / maxillofacial clinic</t>
  </si>
  <si>
    <t xml:space="preserve">Dental polyclinic with a day hospital and in-house lab; 25k+ patients</t>
  </si>
  <si>
    <t xml:space="preserve">74 (2025) (CompanyWall (https://www.companywall.hr/tvrtka/poliklinika-i-med/MMnJL70))</t>
  </si>
  <si>
    <t xml:space="preserve">Says it "fully digitalised all segments" of clinic and lab work over 3 years (imed.hr (https://imed.hr/en))</t>
  </si>
  <si>
    <t xml:space="preserve">You've already digitised the clinic and lab end to end. ByteChef connects the remaining patient-intake and admin flows with AI agents, on your own servers, with no per-task fees.</t>
  </si>
  <si>
    <t xml:space="preserve">Marko Krmpotić (Owner)</t>
  </si>
  <si>
    <t xml:space="preserve">Zračna luka Zadar</t>
  </si>
  <si>
    <t xml:space="preserve">zadar-airport.hr</t>
  </si>
  <si>
    <t xml:space="preserve">Zemunik Donji</t>
  </si>
  <si>
    <t xml:space="preserve">Publicly owned airport; €22.6M revenue</t>
  </si>
  <si>
    <t xml:space="preserve">276–333 (CompanyWall (https://www.companywall.hr/tvrtka/zracna-luka-zadar-doo/MMxjVhxq))</t>
  </si>
  <si>
    <t xml:space="preserve">New departure terminal opened Jul 2026; 160 seasonal hires (057info (https://www.057info.hr/vijesti/2026-01-06/zracna-luka-zadar-objavila-natjecaj-za-160-sezonaca-najvise-ih-trebaju-za-prihvat-putnika-i-rad-u-bescarinskoj-trgovini/)); multi-system ops inferred</t>
  </si>
  <si>
    <t xml:space="preserve">Public ownership; NIS2 transport</t>
  </si>
  <si>
    <t xml:space="preserve">A new terminal plus 160 seasonal hires is a lot of onboarding and handling workflow. ByteChef automates it on infrastructure you control, which helps with NIS2, and charges nothing per run.</t>
  </si>
  <si>
    <t xml:space="preserve">Josip Klišmanić (Director)</t>
  </si>
  <si>
    <t xml:space="preserve">Uniline Grupa</t>
  </si>
  <si>
    <t xml:space="preserve">uniline.hr</t>
  </si>
  <si>
    <t xml:space="preserve">Tour operator / DMC / rent-a-car (Europcar)</t>
  </si>
  <si>
    <t xml:space="preserve">Holding with 4 subsidiaries; group revenue over €65M (2024)</t>
  </si>
  <si>
    <t xml:space="preserve">48 + 20 across two entities (Fina (https://infobiz.fina.hr/tvrtka/uniline-d-o-o/OIB-74786390334))</t>
  </si>
  <si>
    <t xml:space="preserve">2025 strategy "focus on digitalisation"; launched eTours; Mobility fleet growing to about 2,000 cars (Poslovni turizam (https://www.poslovniturizam.com/mice-magazin/kompanije/uniline-grupa-u-2025-fokus-na-digitalizaciju-rast-i-velike-medunarodne-dogadaje/4546/))</t>
  </si>
  <si>
    <t xml:space="preserve">Your 2025 plan puts digitalisation first across tours, eTours and Europcar Mobility. ByteChef ties those systems together with open-source workflows and AI agents, self-hosted and with no per-task pricing.</t>
  </si>
  <si>
    <t xml:space="preserve">Boris Žgomba (Co-founder, President of the Board)</t>
  </si>
  <si>
    <t xml:space="preserve">Angelina Yachting Group (+ Ultra Sailing)</t>
  </si>
  <si>
    <t xml:space="preserve">angelina-yachting.eu</t>
  </si>
  <si>
    <t xml:space="preserve">Biograd na Moru / Split</t>
  </si>
  <si>
    <t xml:space="preserve">Yacht-charter fleet operator</t>
  </si>
  <si>
    <t xml:space="preserve">380+ yachts at 14 bases plus Ultra's 70+ yachts and sailing school</t>
  </si>
  <si>
    <t xml:space="preserve">107 + 38 across two entities (CompanyWall (https://www.companywall.hr/tvrtka/angelina-tours-doo/MM1Eq5dC))</t>
  </si>
  <si>
    <t xml:space="preserve">Owner portal with automated monthly statements; sells through 40+ booking platforms (site (https://www.angelina-yachting.eu/charter-management))</t>
  </si>
  <si>
    <t xml:space="preserve">Running 40+ booking channels and automated owner statements across 14 bases is integration-heavy. ByteChef handles those flows plus AI agents for owner and guest questions, on your own servers and with no per-task fees.</t>
  </si>
  <si>
    <t xml:space="preserve">Luka Šangulin (Chairman)</t>
  </si>
  <si>
    <t xml:space="preserve">Entrio</t>
  </si>
  <si>
    <t xml:space="preserve">entrio.hr</t>
  </si>
  <si>
    <t xml:space="preserve">Event ticketing</t>
  </si>
  <si>
    <t xml:space="preserve">Ticketing platforms (Entrio.hr, Ulaznice.hr, .si/.ba); acquired Gigs Tix (Novi Sad), expanding to 3 more markets</t>
  </si>
  <si>
    <t xml:space="preserve">19 (FINA 2025), €4.36M revenue +99%; group 50+ (Fina (https://infobiz.fina.hr/tvrtka/entrio-tehnologije-d-o-o/OIB-30513194761))</t>
  </si>
  <si>
    <t xml:space="preserve">Multi-platform, multi-country operations after the acquisition (Forbes (https://forbes.dnevnik.hr/aktualno/entrio-preuzeo-novosadsku-ticketing-platformu-gigs-tix-njeni-osnivaci-ostaju-suvlasnici/))</t>
  </si>
  <si>
    <t xml:space="preserve">Folding Gigs Tix in and opening three new markets means a lot of back-office glue between platforms. ByteChef is open-source automation and AI agents your engineers can self-host and extend, with no per-execution pricing.</t>
  </si>
  <si>
    <t xml:space="preserve">Martin Jan Verschuijl (CEO)</t>
  </si>
  <si>
    <t xml:space="preserve">Qure Skincare</t>
  </si>
  <si>
    <t xml:space="preserve">qureskincare.com</t>
  </si>
  <si>
    <t xml:space="preserve">D2C beauty tech</t>
  </si>
  <si>
    <t xml:space="preserve">At-home clinical-grade skincare devices; office in Sydney</t>
  </si>
  <si>
    <t xml:space="preserve">9 (CompanyWall) / 11–50 (ZoomInfo); Zagreb HQ (D&amp;B (https://www.dnb.com/business-directory/company-profiles.qure_skincare_doo.f4020760edf3b6a2beaafa365afc928b.html))</t>
  </si>
  <si>
    <t xml:space="preserve">Creative Operations Manager to "own ClickUp, Notion, Adnova, Creator Engine… automations" and the "internal AI creative engine" (job ad (https://hr.linkedin.com/jobs/view/4473125574))</t>
  </si>
  <si>
    <t xml:space="preserve">none found</t>
  </si>
  <si>
    <t xml:space="preserve">1/1/2/0/1</t>
  </si>
  <si>
    <t xml:space="preserve">Saw you're hiring a Creative Ops Manager to own the ClickUp/Notion/Creator Engine automations and use AI by default. ByteChef ties those tools and TikTok Shop together with AI agents in one open-source engine, with no per-task pricing as volume grows.</t>
  </si>
  <si>
    <t xml:space="preserve">Alpha Capitalis</t>
  </si>
  <si>
    <t xml:space="preserve">alphacapitalis.com</t>
  </si>
  <si>
    <t xml:space="preserve">Accounting / payroll outsourcing</t>
  </si>
  <si>
    <t xml:space="preserve">Accounting, payroll, tax and audit services firm (2012)</t>
  </si>
  <si>
    <t xml:space="preserve">12 (2025) (poslovna.hr (https://www.poslovna.hr/lite/alpha-capitalis/1315873/subjekti.aspx))</t>
  </si>
  <si>
    <t xml:space="preserve">Accountant ad: "we invest heavily in digitalisation, automation and paperless processes" (LinkedIn (https://hr.linkedin.com/jobs/view/4465993691))</t>
  </si>
  <si>
    <t xml:space="preserve">Confidential payroll data</t>
  </si>
  <si>
    <t xml:space="preserve">2/0/2/1/0</t>
  </si>
  <si>
    <t xml:space="preserve">Saw you're hiring and investing in paperless, automated accounting. ByteChef automates invoice, payroll and client-document flows on your own server, so client data never leaves, with no per-task pricing.</t>
  </si>
  <si>
    <t xml:space="preserve">Danijel Pevec (Director and co-owner)</t>
  </si>
  <si>
    <t xml:space="preserve">HGSPOT Grupa</t>
  </si>
  <si>
    <t xml:space="preserve">hgspot.hr</t>
  </si>
  <si>
    <t xml:space="preserve">IT/electronics omnichannel retail</t>
  </si>
  <si>
    <t xml:space="preserve">IT retailer: webshop, stores, wholesale (B2B), service</t>
  </si>
  <si>
    <t xml:space="preserve">78 (2025) (Fina (https://infobiz.fina.hr/tvrtka/hgspot-grupa-d-o-o/OIB-65553879500))</t>
  </si>
  <si>
    <t xml:space="preserve">Own development/programming, webshop, wholesale and support departments (HGSPOT Inkubator (https://www.hgspot.hr/karijera/hgspot-inkubator)); systems-engineer openings (karijera (https://www.hgspot.hr/karijera))</t>
  </si>
  <si>
    <t xml:space="preserve">2/1/1/0/0</t>
  </si>
  <si>
    <t xml:space="preserve">Your careers page lists your own programming team next to webshop, wholesale and support. ByteChef gives that team an open-source, self-hosted engine to automate order, stock and support flows, with AI agents and no per-task pricing.</t>
  </si>
  <si>
    <t xml:space="preserve">Links</t>
  </si>
  <si>
    <t xml:space="preserve">links.hr</t>
  </si>
  <si>
    <t xml:space="preserve">Computer retail chain: webshop, B2B, repair service, device buyback</t>
  </si>
  <si>
    <t xml:space="preserve">178 (2025) (reputacija (https://reputacija.hr/tvrtka/links))</t>
  </si>
  <si>
    <t xml:space="preserve">B2B offer, repair service, buyback and multi-city stores (links.hr (https://www.links.hr/)); multi-system ops inferred</t>
  </si>
  <si>
    <t xml:space="preserve">You run a webshop, a B2B channel, a repair service and buyback across several stores. ByteChef is open-source automation you host yourself to sync those flows, with AI agents for support triage and no per-run fees.</t>
  </si>
  <si>
    <t xml:space="preserve">Denis Piljek (Owner–director)</t>
  </si>
  <si>
    <t xml:space="preserve">Instar Informatika</t>
  </si>
  <si>
    <t xml:space="preserve">instar-informatika.hr</t>
  </si>
  <si>
    <t xml:space="preserve">IT retailer and PC assembler; webshop and stores in Zagreb, Rijeka, Split</t>
  </si>
  <si>
    <t xml:space="preserve">60–69 (Adorio (https://www.adorio.hr/instar-informatika))</t>
  </si>
  <si>
    <t xml:space="preserve">150,000+ shipments and 200k monthly visitors; hiring across e-commerce, wholesale, logistics, production, service (careers (https://www.instar-informatika.hr/posao-i-karijera/16/page/))</t>
  </si>
  <si>
    <t xml:space="preserve">150,000+ shipments across webshop, wholesale, service and production is a lot of hand-offs. ByteChef is open-source, self-hosted automation with AI agents to connect them, with no per-task pricing.</t>
  </si>
  <si>
    <t xml:space="preserve">Marko Cvetkovski (Management)</t>
  </si>
  <si>
    <t xml:space="preserve">Mikronis</t>
  </si>
  <si>
    <t xml:space="preserve">mikronis.hr</t>
  </si>
  <si>
    <t xml:space="preserve">IT/electronics retail and distribution</t>
  </si>
  <si>
    <t xml:space="preserve">IT retailer and own-brand PC maker; B2B and B2C, service centre, stores</t>
  </si>
  <si>
    <t xml:space="preserve">55; about €14.0M revenue (2025) (Fina (https://infobiz.fina.hr/tvrtka/mikronis-d-o-o/OIB-59964152545))</t>
  </si>
  <si>
    <t xml:space="preserve">B2B wholesale desk, warranty department, BOX NOW pickup, multiple stores (mikronis.hr (https://www.mikronis.hr/)); inferred</t>
  </si>
  <si>
    <t xml:space="preserve">You run B2B and B2C, a service centre and BOX NOW deliveries side by side. ByteChef is open-source automation you can self-host to tie orders, warranty claims and stock together, with AI agents and no per-task fees.</t>
  </si>
  <si>
    <t xml:space="preserve">Dubravko Puhelek (Management)</t>
  </si>
  <si>
    <t xml:space="preserve">eKupi (M SAN Grupa)</t>
  </si>
  <si>
    <t xml:space="preserve">ekupi.hr</t>
  </si>
  <si>
    <t xml:space="preserve">Online store / marketplace</t>
  </si>
  <si>
    <t xml:space="preserve">Self-described largest Croatian online store; sells in HR, BiH, RS, ME, MK</t>
  </si>
  <si>
    <t xml:space="preserve">60; €62.98M revenue (2025) (Fina (https://infobiz.fina.hr/subjekt/ekupi-d-o-o/OIB-67567085531)); parent 233</t>
  </si>
  <si>
    <t xml:space="preserve">Five-country logistics network; parent hiring an order-processing specialist to enter regional and EU orders into ERP (Jooble (https://hr.jooble.org/desc/-837525312598699108))</t>
  </si>
  <si>
    <t xml:space="preserve">Saw M SAN is hiring people to key regional and EU orders into ERP by hand. ByteChef is open-source, self-hosted automation with AI agents that can move eKupi orders, invoices and shipping documents between systems, with no per-task pricing.</t>
  </si>
  <si>
    <t xml:space="preserve">Stipo Matić (Management)</t>
  </si>
  <si>
    <t xml:space="preserve">V.B.Z.</t>
  </si>
  <si>
    <t xml:space="preserve">vbz.hr</t>
  </si>
  <si>
    <t xml:space="preserve">Bookstores / publishing retail</t>
  </si>
  <si>
    <t xml:space="preserve">Publisher and bookstore chain with its own webshop</t>
  </si>
  <si>
    <t xml:space="preserve">84 (2025) (reputacija (https://reputacija.hr/tvrtka/vbz))</t>
  </si>
  <si>
    <t xml:space="preserve">Nov 2025 webshop-administrator ad: WooCommerce/Shopify plus ERP/CRM (MojPosao (https://mojposao.hr/posao/fcfde21f-c529-11f0-aa22-022e22000ccd/administrator-web-shopa-m-z))</t>
  </si>
  <si>
    <t xml:space="preserve">Saw you're hiring a webshop administrator who also has to handle ERP/CRM. ByteChef is open-source, self-hosted automation that keeps webshop, ERP and CRM in sync, with AI agents and no per-task pricing.</t>
  </si>
  <si>
    <t xml:space="preserve">Mladen Zatezalo (Owner–director)</t>
  </si>
  <si>
    <t xml:space="preserve">Biovega (bio&amp;bio)</t>
  </si>
  <si>
    <t xml:space="preserve">biobio.hr</t>
  </si>
  <si>
    <t xml:space="preserve">Organic food retail, wholesale, production</t>
  </si>
  <si>
    <t xml:space="preserve">Organic retail chain plus wholesale, packing plants, farm, bistros, publishing</t>
  </si>
  <si>
    <t xml:space="preserve">189 (2025) (reputacija (https://reputacija.hr/tvrtka/biovega))</t>
  </si>
  <si>
    <t xml:space="preserve">In-house IT department among 14 departments (TalentLyft (https://biovega.talentlyft.com/)); multi-system ops inferred</t>
  </si>
  <si>
    <t xml:space="preserve">Retail, wholesale, two packing plants, bistros and publishing all have to stay in sync. ByteChef is open-source, self-hosted automation with AI agents your IT team can use to connect them, with no per-task pricing.</t>
  </si>
  <si>
    <t xml:space="preserve">David Pejić (Director)</t>
  </si>
  <si>
    <t xml:space="preserve">Centar Tehnike</t>
  </si>
  <si>
    <t xml:space="preserve">centar-tehnike.hr</t>
  </si>
  <si>
    <t xml:space="preserve">Appliance/electronics retail</t>
  </si>
  <si>
    <t xml:space="preserve">Fast-growing appliance retailer (€13.6M in 2021 to €25.4M in 2025)</t>
  </si>
  <si>
    <t xml:space="preserve">69 (2025) (reputacija (https://reputacija.hr/tvrtka/centar-tehnike))</t>
  </si>
  <si>
    <t xml:space="preserve">2024 web specialist ad: WooCommerce, Excel reporting and data analysis (MojPosao (https://mojposao.hr/posao/c5d8f272-4e70-11ef-844d-02304c552d3d/web-specijalist-administrator-m-z))</t>
  </si>
  <si>
    <t xml:space="preserve">Your web specialist role combined WooCommerce upkeep with Excel reporting. ByteChef is open-source, self-hosted automation that can generate those reports and sync the shop, with AI agents and no per-task pricing.</t>
  </si>
  <si>
    <t xml:space="preserve">Tomislav Jelić (Owner–director)</t>
  </si>
  <si>
    <t xml:space="preserve">Agro Simpa</t>
  </si>
  <si>
    <t xml:space="preserve">agrosimpa.hr</t>
  </si>
  <si>
    <t xml:space="preserve">Sisak</t>
  </si>
  <si>
    <t xml:space="preserve">Agri retail, omnichannel</t>
  </si>
  <si>
    <t xml:space="preserve">Seed, fertiliser and agri retail with webshop; plus energy, vehicles, tourism</t>
  </si>
  <si>
    <t xml:space="preserve">48 (2025) (reputacija (https://reputacija.hr/tvrtka/agro-simpa))</t>
  </si>
  <si>
    <t xml:space="preserve">Apr 2026 ad for an IT person who also runs the webshop (WooCommerce, ads, newsletters) (MojPosao (https://mojposao.hr/en/job/549216e1-3fc4-11f1-9e17-0280a8fb46bd/informaticar-voditelj-web-shopa-m-z))</t>
  </si>
  <si>
    <t xml:space="preserve">Saw you're hiring one IT person to run the whole web shop and its campaigns. ByteChef is open-source, self-hosted automation with AI agents that takes catalogue, order and newsletter chores off that one person, with no per-task pricing.</t>
  </si>
  <si>
    <t xml:space="preserve">Saša Simić (Owner–director)</t>
  </si>
  <si>
    <t xml:space="preserve">Big Bang Hrvatska (formerly Sancta Domenica)</t>
  </si>
  <si>
    <t xml:space="preserve">bigbang.hr</t>
  </si>
  <si>
    <t xml:space="preserve">Consumer-electronics retail and distribution</t>
  </si>
  <si>
    <t xml:space="preserve">Runs brand e-stores (Panasonic, Samsung, Sony) from a new 10,000 m² logistics centre; Big Bang Group (Slovenia) since 2022</t>
  </si>
  <si>
    <t xml:space="preserve">205 (2025) (Fina (https://infobiz.fina.hr/tvrtka/sancta-domenica-d-o-o/OIB-35409850545))</t>
  </si>
  <si>
    <t xml:space="preserve">Several brand web stores plus wholesale and retail out of one warehouse (Index.hr (https://www.index.hr/vijesti/clanak/sancta-domenica-postala-big-bang/2641302.aspx))</t>
  </si>
  <si>
    <t xml:space="preserve">unknown; Slovenian group owner</t>
  </si>
  <si>
    <t xml:space="preserve">Running separate Samsung, Sony and Panasonic e-stores out of one new warehouse means a lot of sync work. ByteChef is open-source, self-hosted automation with AI agents that connects them, with no per-task pricing.</t>
  </si>
  <si>
    <t xml:space="preserve">Vesna Ramljak (Management)</t>
  </si>
  <si>
    <t xml:space="preserve">B2 Impact (formerly B2 Kapital)</t>
  </si>
  <si>
    <t xml:space="preserve">b2-impact.hr</t>
  </si>
  <si>
    <t xml:space="preserve">Debt collection / NPL servicing</t>
  </si>
  <si>
    <t xml:space="preserve">B2Holding-owned servicer of insured and non-performing portfolios</t>
  </si>
  <si>
    <t xml:space="preserve">100–199 (Adorio (https://www.adorio.hr/b2-kapital))</t>
  </si>
  <si>
    <t xml:space="preserve">Portfolio servicing and restructuring (inferred)</t>
  </si>
  <si>
    <t xml:space="preserve">Debtor personal data</t>
  </si>
  <si>
    <t xml:space="preserve">2/0/1/1/0</t>
  </si>
  <si>
    <t xml:space="preserve">Servicing NPL portfolios means a lot of document and case handoffs. ByteChef automates them with AI agents and approvals, self-hosted so debtor data stays in-house.</t>
  </si>
  <si>
    <t xml:space="preserve">reserve</t>
  </si>
  <si>
    <t xml:space="preserve">István Major (Director)</t>
  </si>
  <si>
    <t xml:space="preserve">Rasco</t>
  </si>
  <si>
    <t xml:space="preserve">rasco.hr</t>
  </si>
  <si>
    <t xml:space="preserve">Kalinovac</t>
  </si>
  <si>
    <t xml:space="preserve">Machinery manufacturing</t>
  </si>
  <si>
    <t xml:space="preserve">Exporter (80%+) of winter and road-maintenance machines; two plants</t>
  </si>
  <si>
    <t xml:space="preserve">about 300–400 (Forbes HR (https://forbes.dnevnik.hr/aktualno/ova-hrvatska-tvrtka-35-godina-se-prilagodavala-trzistu-i-izrasla-u-izvoznika-sa-skoro-400-zaposlenih/))</t>
  </si>
  <si>
    <t xml:space="preserve">Embedded-programmer hire; multi-market export ops (inferred)</t>
  </si>
  <si>
    <t xml:space="preserve">As an exporter shipping to many markets, ByteChef could automate order, service and dealer workflows on your own servers, with no per-task pricing.</t>
  </si>
  <si>
    <t xml:space="preserve">Telegram Media Grupa</t>
  </si>
  <si>
    <t xml:space="preserve">telegram.hr</t>
  </si>
  <si>
    <t xml:space="preserve">Digital media (subscriptions)</t>
  </si>
  <si>
    <t xml:space="preserve">Subscription-funded news portal (Telegram, Telesport)</t>
  </si>
  <si>
    <t xml:space="preserve">55; €2.51M revenue 2024 (reputacija (https://reputacija.hr/tvrtka/telegram-media-grupa))</t>
  </si>
  <si>
    <t xml:space="preserve">Two subscription tiers, card and wallet payments, bank payment slips, newsletters and Club perks: a billing and CRM chain (pretplata (https://www.telegram.hr/pretplata/))</t>
  </si>
  <si>
    <t xml:space="preserve">Subscriber payment data</t>
  </si>
  <si>
    <t xml:space="preserve">Running subscriptions, payment slips, newsletters and Club perks on a tight budget is where per-task pricing hurts. ByteChef is open-source and self-hosted, so it can automate the subscriber lifecycle for free.</t>
  </si>
  <si>
    <t xml:space="preserve">Wizi (Cammeo Franšiza)</t>
  </si>
  <si>
    <t xml:space="preserve">cammeo.hr</t>
  </si>
  <si>
    <t xml:space="preserve">Mobility / taxi</t>
  </si>
  <si>
    <t xml:space="preserve">Croatian taxi franchise network with its own ride app, rebranded Wizi</t>
  </si>
  <si>
    <t xml:space="preserve">83; €6.04M revenue 2025 (Fina (https://infobiz.fina.hr/tvrtka/cammeo-fransiza-d-o-o/OIB-87479457713))</t>
  </si>
  <si>
    <t xml:space="preserve">App with card and wallet payments, dispatch and chat support; "optimising internal workflows" (Prolink (https://prolink.hr/mobile-application-for-taxi-company-development))</t>
  </si>
  <si>
    <t xml:space="preserve">Passenger location and payment data (inferred)</t>
  </si>
  <si>
    <t xml:space="preserve">With the Wizi rebrand, ByteChef can self-host the back-office flows between app, payments, franchise partners and support, with AI agents and no per-task fees.</t>
  </si>
  <si>
    <t xml:space="preserve">Vladimir Minovski (Owner and GM)</t>
  </si>
  <si>
    <t xml:space="preserve">ORYX Assistance (Zubak Group)</t>
  </si>
  <si>
    <t xml:space="preserve">oryx-assistance.com</t>
  </si>
  <si>
    <t xml:space="preserve">Assistance contact centre</t>
  </si>
  <si>
    <t xml:space="preserve">Roadside, maritime and home assistance in about 9 countries (partners HPB, OTP, Aura)</t>
  </si>
  <si>
    <t xml:space="preserve">Zubak Group 250+ (ad (https://hr.jooble.org/desc/-551417179985266628))</t>
  </si>
  <si>
    <t xml:space="preserve">24/7 three-shift centre: cases, partner coordination, service billing; hiring Italian-speaking agents (same source)</t>
  </si>
  <si>
    <t xml:space="preserve">Bank and insurer partner data (inferred)</t>
  </si>
  <si>
    <t xml:space="preserve">Saw you're hiring Italian-speaking agents. ByteChef can self-host case-to-partner-to-billing automation and AI intake agents across 9 countries, with no per-task pricing.</t>
  </si>
  <si>
    <t xml:space="preserve">GNK Dinamo Zagreb</t>
  </si>
  <si>
    <t xml:space="preserve">gnkdinamo.hr</t>
  </si>
  <si>
    <t xml:space="preserve">Croatia's largest football club: membership, ticketing, fan shops</t>
  </si>
  <si>
    <t xml:space="preserve">122 (CompanyWall (https://www.companywall.hr/tvrtka/gnk--dinamo/MMKIxRP0))</t>
  </si>
  <si>
    <t xml:space="preserve">Hiring finance, marketing and HR leads and fan-shop staff (inferred finance, retail and CRM ops) (MojPosao (https://mojposao.hr/posao/33ebc635-1142-11f0-af75-02e598dfa48d/racunovodja-m-z))</t>
  </si>
  <si>
    <t xml:space="preserve">Member and fan data (inferred)</t>
  </si>
  <si>
    <t xml:space="preserve">Saw you're building out finance and marketing. ByteChef can self-host the flows between ticketing, the fan shop, membership and accounting, with no per-task fees.</t>
  </si>
  <si>
    <t xml:space="preserve">Nanobit</t>
  </si>
  <si>
    <t xml:space="preserve">nanobit.com</t>
  </si>
  <si>
    <t xml:space="preserve">Mobile gaming (Stillfront)</t>
  </si>
  <si>
    <t xml:space="preserve">Mobile games and interactive-stories studio</t>
  </si>
  <si>
    <t xml:space="preserve">102; about €18.3M revenue (CompanyWall (https://www.companywall.hr/pretraga?n=nanobit))</t>
  </si>
  <si>
    <t xml:space="preserve">Junior sysadmin to run onboarding/offboarding across JumpCloud, AD and Google Workspace (job ad (https://hr.linkedin.com/jobs/view/junior-system-administrator-at-nanobit-4470137682))</t>
  </si>
  <si>
    <t xml:space="preserve">Saw you're hiring a sysadmin to handle onboarding and offboarding across JumpCloud, AD and Google Workspace. ByteChef can automate that joiner/leaver flow end to end, self-hosted and open-source, with AI agents for IT tickets and no per-task fees.</t>
  </si>
  <si>
    <t xml:space="preserve">Alan Sumina (Co-founder)</t>
  </si>
  <si>
    <t xml:space="preserve">CircuitMess</t>
  </si>
  <si>
    <t xml:space="preserve">circuitmess.com</t>
  </si>
  <si>
    <t xml:space="preserve">Zagreb / Karlovac</t>
  </si>
  <si>
    <t xml:space="preserve">Consumer hardware / STEM ed-tech</t>
  </si>
  <si>
    <t xml:space="preserve">DIY electronics and AI robot kits: DTC, Kickstarter, schools, distributors</t>
  </si>
  <si>
    <t xml:space="preserve">30; €2.75M revenue (CompanyWall (https://www.companywall.hr/pretraga?n=circuitmess))</t>
  </si>
  <si>
    <t xml:space="preserve">B2B sales hire to build a four-channel global pipeline in CRM tools, coordinating logistics (job ad (https://circuitmess-doo.talentlyft.com/o/cjoHagN))</t>
  </si>
  <si>
    <t xml:space="preserve">Saw you're building a global B2B pipeline for schools and distributors alongside DTC. ByteChef connects store, CRM and logistics flows in one self-hosted, open-source engine with AI agents, so new channels don't add per-task bills.</t>
  </si>
  <si>
    <t xml:space="preserve">Byte Lab</t>
  </si>
  <si>
    <t xml:space="preserve">bytelab.com</t>
  </si>
  <si>
    <t xml:space="preserve">Embedded electronics engineering</t>
  </si>
  <si>
    <t xml:space="preserve">Electronics and embedded-systems design-and-build house</t>
  </si>
  <si>
    <t xml:space="preserve">43; €4.46M revenue (CompanyWall (https://www.companywall.hr/pretraga?n=byte%20lab))</t>
  </si>
  <si>
    <t xml:space="preserve">Setting up a PM Office; technical PM hire coordinates teams in Jira/Monday (job ad (https://hr.linkedin.com/jobs/view/technical-project-manager-at-byte-lab-4456269631))</t>
  </si>
  <si>
    <t xml:space="preserve">Client hardware IP (inferred)</t>
  </si>
  <si>
    <t xml:space="preserve">Saw you're standing up a PM Office. ByteChef, self-hosted and open-source, can automate Jira/Monday status, procurement and manufacturing handoffs with AI agents and approvals, keeping client IP on your own servers.</t>
  </si>
  <si>
    <t xml:space="preserve">Lognet</t>
  </si>
  <si>
    <t xml:space="preserve">lognet.hr</t>
  </si>
  <si>
    <t xml:space="preserve">Logistics SaaS (TMS, yard management)</t>
  </si>
  <si>
    <t xml:space="preserve">SaaS for transport and logistics operations</t>
  </si>
  <si>
    <t xml:space="preserve">10; €1.23M revenue (CompanyWall (https://www.companywall.hr/pretraga?n=lognet))</t>
  </si>
  <si>
    <t xml:space="preserve">Hiring its first support specialist to triage and track issues across teams (job ad (https://hr.linkedin.com/jobs/view/customer-support-specialist-at-lognet-4467366664))</t>
  </si>
  <si>
    <t xml:space="preserve">Saw you're hiring your first dedicated support specialist. ByteChef can route and classify tickets with AI agents and sync them into dev tracking, self-hosted with no per-task fees, and the same engine could later power customer-facing integrations in your TMS.</t>
  </si>
  <si>
    <t xml:space="preserve">Svijet medija</t>
  </si>
  <si>
    <t xml:space="preserve">svijet-medija.hr</t>
  </si>
  <si>
    <t xml:space="preserve">Electronics retail / webshop</t>
  </si>
  <si>
    <t xml:space="preserve">Consumer-electronics retailer and webshop since 1994</t>
  </si>
  <si>
    <t xml:space="preserve">123–126 (2025) (Fina (https://infobiz.fina.hr/tvrtka/svijet-medija-d-o-o/OIB-08622180689))</t>
  </si>
  <si>
    <t xml:space="preserve">In-house Drupal Commerce webshop run by one developer and "heavily dependent on a 3rd party ERP" (Drupal showcase (https://drupalcommerce.org/showcase/site/svijet-medija))</t>
  </si>
  <si>
    <t xml:space="preserve">Your in-house webshop leans on ERP sync and one developer. ByteChef can take over those product, price and order flows as open-source, self-hosted automation, with no per-task fees.</t>
  </si>
  <si>
    <t xml:space="preserve">Anđelko Ćurić (Owner and director)</t>
  </si>
  <si>
    <t xml:space="preserve">Jadran (Crikvenica)</t>
  </si>
  <si>
    <t xml:space="preserve">jadran-crikvenica.hr</t>
  </si>
  <si>
    <t xml:space="preserve">Crikvenica</t>
  </si>
  <si>
    <t xml:space="preserve">ZSE-listed group: 17 hotels and a camp</t>
  </si>
  <si>
    <t xml:space="preserve">375 (2025) (Fina (https://infobiz.fina.hr/tvrtka/jadran-d-d/OIB-56994999963))</t>
  </si>
  <si>
    <t xml:space="preserve">Invests in sales-system computerisation; uses Phobs (case study (https://www.researchgate.net/publication/368624380_TRENDOVI_U_HOTELSKOJ_PRODAJI_-_PRIMJER_PODUZECA_JADRAN_DD_CRIKVENICA)); new CEO from Sep 2025 with a "new strategic direction" (Poslovni turizam (https://www.poslovniturizam.com/mice-magazin/kompanije/novi-strateski-smjer-za-jadran-hotele-crikvenica-zrinka-bokulic-od-rujna-preuzima-upravljanje-kompanijom/4642/))</t>
  </si>
  <si>
    <t xml:space="preserve">Listed; guest data</t>
  </si>
  <si>
    <t xml:space="preserve">With a new strategic direction under way, ByteChef can automate the reservations-to-back-office flows across 17 hotels, with AI agents, self-hosted and with no per-task fees.</t>
  </si>
  <si>
    <t xml:space="preserve">Zrinka Bokulić (President of the Board)</t>
  </si>
  <si>
    <t xml:space="preserve">Ilirija</t>
  </si>
  <si>
    <t xml:space="preserve">ilirijabiograd.com</t>
  </si>
  <si>
    <t xml:space="preserve">Biograd na Moru</t>
  </si>
  <si>
    <t xml:space="preserve">Hotels, marina, camping</t>
  </si>
  <si>
    <t xml:space="preserve">ZSE-listed: 6 hotels, Marina Kornati, a camp, a DMC, event venue and a mall</t>
  </si>
  <si>
    <t xml:space="preserve">340 (FINA 2025) (Fina (https://infobiz.fina.hr/public/OIB-05951496767/ilirija-d-d))</t>
  </si>
  <si>
    <t xml:space="preserve">Multi-segment operations inferred from its portfolio (site (https://ilirijabiograd.com/o-nama/osnovni-podatci))</t>
  </si>
  <si>
    <t xml:space="preserve">Listed company; GDPR documentation</t>
  </si>
  <si>
    <t xml:space="preserve">Hotels, a marina, a camp, a DMC and event venues usually means separate systems that don't talk. ByteChef connects them with self-hosted workflows and AI agents, with no per-task fees.</t>
  </si>
  <si>
    <t xml:space="preserve">Goran Ražnjević (President of the Board)</t>
  </si>
  <si>
    <t xml:space="preserve">Gaveia</t>
  </si>
  <si>
    <t xml:space="preserve">gaveia.com</t>
  </si>
  <si>
    <t xml:space="preserve">Travel tech (OTA)</t>
  </si>
  <si>
    <t xml:space="preserve">Runs VillasGuide, AdriaCamps, MeinMobilheim and Avtokampi.si</t>
  </si>
  <si>
    <t xml:space="preserve">"20+ specialists" (about (https://villas-guide.com/en/about-us/)); registry earlier showed 8</t>
  </si>
  <si>
    <t xml:space="preserve">Back-end developer ad: APIs and integrations with external services "that connect our whole ecosystem", including poorly documented ones (LinkedIn (https://hr.linkedin.com/jobs/view/4463969113))</t>
  </si>
  <si>
    <t xml:space="preserve">Guest booking data</t>
  </si>
  <si>
    <t xml:space="preserve">1/1/1/1/0</t>
  </si>
  <si>
    <t xml:space="preserve">Saw you're hiring a back-end developer to keep the integrations across your four booking platforms running. ByteChef gives you a self-hosted integration engine with AI agents and no per-task fees.</t>
  </si>
  <si>
    <t xml:space="preserve">Alen Salamun (Co-founder and CEO)</t>
  </si>
  <si>
    <t xml:space="preserve">type</t>
  </si>
  <si>
    <t xml:space="preserve">one-line_description</t>
  </si>
  <si>
    <t xml:space="preserve">automation_practice_evidence</t>
  </si>
  <si>
    <t xml:space="preserve">partnership_angle</t>
  </si>
  <si>
    <t xml:space="preserve">suggested_first-line_hook</t>
  </si>
  <si>
    <t xml:space="preserve">CROZ</t>
  </si>
  <si>
    <t xml:space="preserve">croz.net</t>
  </si>
  <si>
    <t xml:space="preserve">IT consultancy / SI</t>
  </si>
  <si>
    <t xml:space="preserve">Digital-transformation consultancy for finance and public sector (also Munich)</t>
  </si>
  <si>
    <t xml:space="preserve">194 (d.o.o., 2025); about 295 total (companywall (https://www.companywall.hr/tvrtka/croz-doo/MM15fwo0))</t>
  </si>
  <si>
    <t xml:space="preserve">IBM partner for Process Automation, App Connect, API Connect, webMethods and watsonx Orchestrate (IBM Partner Plus (https://www.ibm.com/partnerplus/directory/company/1162)); Red Hat/HashiCorp partner; Claude Partner Network (croz.net (https://croz.net/))</t>
  </si>
  <si>
    <t xml:space="preserve">An open-source, self-hostable tier for mid-market clients that won't pay IBM middleware prices; fits their Red Hat/OSS posture</t>
  </si>
  <si>
    <t xml:space="preserve">3/2/1/2/1</t>
  </si>
  <si>
    <t xml:space="preserve">Your IBM App Connect and Process Automation practice serves banks well. ByteChef lets you take the same orchestration-plus-AI-agents work to mid-market clients on a self-hosted, open-source stack with no licence to start.</t>
  </si>
  <si>
    <t xml:space="preserve">Vjekoslav Jadrešić (Management Board member); Krešimir Mudrovčić (Management Board member)</t>
  </si>
  <si>
    <t xml:space="preserve">Notch (formerly Agency04)</t>
  </si>
  <si>
    <t xml:space="preserve">wearenotch.com</t>
  </si>
  <si>
    <t xml:space="preserve">Java/AI dev consultancy</t>
  </si>
  <si>
    <t xml:space="preserve">Senior engineering firm: custom software, AI agents, BPM integrations</t>
  </si>
  <si>
    <t xml:space="preserve">170+ (about (https://wearenotch.com/about))</t>
  </si>
  <si>
    <t xml:space="preserve">Camunda BPM integration service (https://wearenotch.com/service/camunda-bpm-integration/); Beeline integration on Java/Spring/Camunda (case (https://wearenotch.com/customer-stories/beeline-bpm-integration/)). Sells its own "Sovera AI" orchestration platform, which overlaps</t>
  </si>
  <si>
    <t xml:space="preserve">Spring shop that could extend ByteChef natively; about 80% of revenue is DACH/US</t>
  </si>
  <si>
    <t xml:space="preserve">3/1/1/2/1</t>
  </si>
  <si>
    <t xml:space="preserve">You already build Camunda and Spring integrations for Beeline-scale clients. ByteChef is a Spring-based, open-source workflow and AI-agent platform your engineers can extend natively and run self-hosted for clients who need unmetered automation.</t>
  </si>
  <si>
    <t xml:space="preserve">Ivan Belić (CEO); Marko Štefančić (CTO)</t>
  </si>
  <si>
    <t xml:space="preserve">Kodilion</t>
  </si>
  <si>
    <t xml:space="preserve">kodilion.hr</t>
  </si>
  <si>
    <t xml:space="preserve">Java/DevOps software services; Red Hat/IBM/Elastic partner</t>
  </si>
  <si>
    <t xml:space="preserve">Enterprise software, system services and QA for government, banking and transport; ISO 9001/27001</t>
  </si>
  <si>
    <t xml:space="preserve">42 / "beyond 50" (Tracxn (https://tracxn.com/d/companies/kodilion/__7CP4vBp3NaERtRdbtEepu3e9r4MP8XEX6rARVq7rVa0), company (https://kodilion.hr/company/))</t>
  </si>
  <si>
    <t xml:space="preserve">Built NSCP, a national transport data exchange, and worked on Croatian instant payments (kodilion.hr (https://kodilion.hr/)); about 50% of work is Java, with Spring (Clutch (https://clutch.co/profile/kodilion))</t>
  </si>
  <si>
    <t xml:space="preserve">Java/Spring and Red Hat shop that could extend ByteChef for government and fintech clients needing on-prem</t>
  </si>
  <si>
    <t xml:space="preserve">Kodilion already builds Java/Spring data exchanges like NSCP for regulated clients. ByteChef is an open-source, Spring-based workflow and AI-agent engine you can self-host on their OpenShift, with no per-task pricing.</t>
  </si>
  <si>
    <t xml:space="preserve">Hinko-Ivan Sečen (Co-founder); Luka Ostović (Co-founder)</t>
  </si>
  <si>
    <t xml:space="preserve">FrodX</t>
  </si>
  <si>
    <t xml:space="preserve">frodx.com</t>
  </si>
  <si>
    <t xml:space="preserve">Ljubljana / Zagreb</t>
  </si>
  <si>
    <t xml:space="preserve">HubSpot + Dynamics consultancy</t>
  </si>
  <si>
    <t xml:space="preserve">Martech/CRM consultancy (HubSpot Platinum) for SEE banking, insurance and B2B</t>
  </si>
  <si>
    <t xml:space="preserve">45 (HubSpot directory (https://ecosystem.hubspot.com/marketplace/solutions/croatia))</t>
  </si>
  <si>
    <t xml:space="preserve">HubSpot automation and integrations; AI agents for support, prospecting and voice; GEN-I email-triage and process-automation case (AI agents (https://frodx.com/en/ai-agents-and-frodx))</t>
  </si>
  <si>
    <t xml:space="preserve">Automation across HubSpot, Dynamics and core systems, without per-task iPaaS fees</t>
  </si>
  <si>
    <t xml:space="preserve">3/0/2/1/1</t>
  </si>
  <si>
    <t xml:space="preserve">Your GEN-I email-triage and HubSpot AI-agent work shows clients want automation beyond the CRM. ByteChef gives FrodX a self-hosted, open-source automation and agent layer for SEE banks and insurers, with no licence to start.</t>
  </si>
  <si>
    <t xml:space="preserve">Igor Pauletič (Co-founder and CEO)</t>
  </si>
  <si>
    <t xml:space="preserve">Infinum</t>
  </si>
  <si>
    <t xml:space="preserve">infinum.com</t>
  </si>
  <si>
    <t xml:space="preserve">Product/AI consultancy</t>
  </si>
  <si>
    <t xml:space="preserve">Design and engineering consultancy with an AI and data practice</t>
  </si>
  <si>
    <t xml:space="preserve">244 (HR entity); 350+ overall</t>
  </si>
  <si>
    <t xml:space="preserve">AI agent development (https://infinum.com/artificial-intelligence/agent-development/) ("Agentic Sprint"); AI automation (https://infinum.com/blog/ai-automation/) article; no named iPaaS</t>
  </si>
  <si>
    <t xml:space="preserve">A governed production runtime with human-in-the-loop for the agents they prototype</t>
  </si>
  <si>
    <t xml:space="preserve">Your Agentic Sprint gets clients to a working agent in 10 days. ByteChef gives Infinum an open-source, self-hostable runtime with human-in-the-loop approvals to run those agents in production without metered execution.</t>
  </si>
  <si>
    <t xml:space="preserve">Nikola Kapraljević (CEO)</t>
  </si>
  <si>
    <t xml:space="preserve">Provexio</t>
  </si>
  <si>
    <t xml:space="preserve">provexio.hr</t>
  </si>
  <si>
    <t xml:space="preserve">Sveti Martin na Muri</t>
  </si>
  <si>
    <t xml:space="preserve">Automation / dev agency</t>
  </si>
  <si>
    <t xml:space="preserve">Croatian agency selling RPA and AI automation, software and SEO</t>
  </si>
  <si>
    <t xml:space="preserve">Names Zapier, Make and n8n, plus OpenAI/Claude/LangChain/RAG and HubSpot/Salesforce/Pipedrive/SAP integrations (page (https://provexio.hr/automatizacija-poslovanja))</t>
  </si>
  <si>
    <t xml:space="preserve">Already sells iPaaS automation to Croatian SMBs; ByteChef replaces the metered tools in their margin</t>
  </si>
  <si>
    <t xml:space="preserve">3/1/2/0/1</t>
  </si>
  <si>
    <t xml:space="preserve">You already build Zapier, Make and n8n automations for Croatian SMBs. ByteChef lets Provexio deliver the same with self-hosted, unmetered execution and AI agents, open source so there's no licence to start.</t>
  </si>
  <si>
    <t xml:space="preserve">Notus IT</t>
  </si>
  <si>
    <t xml:space="preserve">notus.hr</t>
  </si>
  <si>
    <t xml:space="preserve">Odoo Silver partner + custom dev</t>
  </si>
  <si>
    <t xml:space="preserve">Odoo implementation, localisation and custom apps for SMEs (10–300+ Odoo users)</t>
  </si>
  <si>
    <t xml:space="preserve">16–19 (Fina (https://infobiz.fina.hr/tvrtka/notus-it-d-o-o/OIB-61839748667))</t>
  </si>
  <si>
    <t xml:space="preserve">Connects Odoo to VoIP, biometrics, logistics, WMS, CMS, e-commerce and payment gateways (notus.hr (https://notus.hr/en/odoo)); 24 Odoo references</t>
  </si>
  <si>
    <t xml:space="preserve">Replace one-off Odoo connector code with reusable workflows; add AI agents for Odoo clients</t>
  </si>
  <si>
    <t xml:space="preserve">3/1/2/1/0</t>
  </si>
  <si>
    <t xml:space="preserve">Your team hand-builds Odoo links to WMS, VoIP and payment gateways. ByteChef could turn those into reusable, self-hosted workflows with AI agents on top, at no per-task cost.</t>
  </si>
  <si>
    <t xml:space="preserve">Filip Žić (Owner)</t>
  </si>
  <si>
    <t xml:space="preserve">Appliment</t>
  </si>
  <si>
    <t xml:space="preserve">appliment.eu</t>
  </si>
  <si>
    <t xml:space="preserve">Bitrix24 Gold + Zoho partner</t>
  </si>
  <si>
    <t xml:space="preserve">CRM/DMS/WMS/BI implementations; Bitrix24 cloud and on-premise</t>
  </si>
  <si>
    <t xml:space="preserve">unknown; "110+ systems implemented" (appliment.eu (https://appliment.eu/))</t>
  </si>
  <si>
    <t xml:space="preserve">"500+ automated processes"; Business Process Consulting and Business Automation services (appliment.eu (https://appliment.eu/), zoho (https://zoho.appliment.eu/hr/))</t>
  </si>
  <si>
    <t xml:space="preserve">Cross-system layer between Bitrix24/Zoho and client ERPs; on-prem Bitrix clients suit self-hosting</t>
  </si>
  <si>
    <t xml:space="preserve">500+ automated processes across Bitrix24 and Zoho is a lot of glue. ByteChef gives you one open-source, self-hostable engine for it, with AI agents and no per-task fees.</t>
  </si>
  <si>
    <t xml:space="preserve">Zvonimir Tokić (Director)</t>
  </si>
  <si>
    <t xml:space="preserve">NOS d.o.o.</t>
  </si>
  <si>
    <t xml:space="preserve">nos.hr</t>
  </si>
  <si>
    <t xml:space="preserve">Digital-transformation consultancy + AI-agent studio</t>
  </si>
  <si>
    <t xml:space="preserve">ERP/CRM/WMS/webshop projects plus its own AI agents (DokAgent, IOS Agent, MarketPulseAI); clients include Polleo, Eurotrade, Instar</t>
  </si>
  <si>
    <t xml:space="preserve">AI agents that extract invoices into ERP and email customer statements (nos.hr (https://www.nos.hr/ai-agenti-za-pametnu-automatizaciju-poslovanja/)); OpenAI Partner Network</t>
  </si>
  <si>
    <t xml:space="preserve">Run their agents on one engine with guardrails, approvals and 190+ connectors</t>
  </si>
  <si>
    <t xml:space="preserve">DokAgent and IOS Agent already push documents into ERPs. ByteChef could run them on one self-hosted engine with guardrails and approval steps, without per-run pricing.</t>
  </si>
  <si>
    <t xml:space="preserve">Nimium</t>
  </si>
  <si>
    <t xml:space="preserve">nimium.hr</t>
  </si>
  <si>
    <t xml:space="preserve">Red Hat Premier partner, open-source infrastructure</t>
  </si>
  <si>
    <t xml:space="preserve">RHEL, OpenShift, Ansible and middleware since 2002; exclusive HR partner for Docker, EDB, Bacula, Zimbra</t>
  </si>
  <si>
    <t xml:space="preserve">12–13; €2.48M revenue (CompanyWall (https://www.companywall.hr/tvrtka/nimium-doo/MMxvVxf0))</t>
  </si>
  <si>
    <t xml:space="preserve">Ansible automation and "system integration and middleware deployment" for HT, PBZ and the Ministry of Finance (nimium.hr (https://www.nimium.hr/en/))</t>
  </si>
  <si>
    <t xml:space="preserve">Business-workflow and AI-agent layer on their OpenShift/EDB stack</t>
  </si>
  <si>
    <t xml:space="preserve">You've brought Red Hat open source to HT and PBZ since 2003. ByteChef is the business-workflow and AI-agent layer that runs on the same OpenShift, fully self-hosted.</t>
  </si>
  <si>
    <t xml:space="preserve">Netgen</t>
  </si>
  <si>
    <t xml:space="preserve">netgen.io</t>
  </si>
  <si>
    <t xml:space="preserve">Zagreb / Osijek / Zurich</t>
  </si>
  <si>
    <t xml:space="preserve">Open-source web and e-commerce agency (Symfony/Ibexa/Sylius)</t>
  </si>
  <si>
    <t xml:space="preserve">Complex digital and e-commerce builds since 2002; publishes its own open-source stack</t>
  </si>
  <si>
    <t xml:space="preserve">40+ (Ibexa (https://www.ibexa.co/partners/netgen-switzerland-ag))</t>
  </si>
  <si>
    <t xml:space="preserve">ERP and CMS integration projects; dedicated AI developers (careers (https://netgen.io/team-careers))</t>
  </si>
  <si>
    <t xml:space="preserve">Open-source culture; ERP/PIM-to-shop sync</t>
  </si>
  <si>
    <t xml:space="preserve">Netgen already open-sources its Ibexa stack. ByteChef is an open-source, self-hostable engine for the ERP and AI-agent glue around your e-commerce builds, with no per-task pricing.</t>
  </si>
  <si>
    <t xml:space="preserve">Ivo Lukač (Co-founder); Igor Vrdoljak (Co-founder)</t>
  </si>
  <si>
    <t xml:space="preserve">Solvership (formerly Poslovna inteligencija)</t>
  </si>
  <si>
    <t xml:space="preserve">solvership.com</t>
  </si>
  <si>
    <t xml:space="preserve">Data, analytics and AI consultancy</t>
  </si>
  <si>
    <t xml:space="preserve">Data integration, migration, MDM, BI and AI for telco, banking and retail; 8 European offices</t>
  </si>
  <si>
    <t xml:space="preserve">about 187 (LinkedIn (https://hr.linkedin.com/company/poslovna-inteligencija))</t>
  </si>
  <si>
    <t xml:space="preserve">Data-integration and migration practice; posts on "agentic AI readiness" (LinkedIn (https://hr.linkedin.com/company/poslovna-inteligencija), Netokracija (https://www.netokracija.com/poslovna-inteligencija-solvership-228397))</t>
  </si>
  <si>
    <t xml:space="preserve">Agentic layer on their data platforms, self-hosted for bank and telco clients</t>
  </si>
  <si>
    <t xml:space="preserve">2/0/2/2/1</t>
  </si>
  <si>
    <t xml:space="preserve">You're telling clients AI is only as ready as their data. ByteChef runs agentic workflows on that data inside the client's own VPC, with guardrails and human approvals, and no per-task cost.</t>
  </si>
  <si>
    <t xml:space="preserve">Lidija Karaga (President of the Board)</t>
  </si>
  <si>
    <t xml:space="preserve">Q agency</t>
  </si>
  <si>
    <t xml:space="preserve">q.agency</t>
  </si>
  <si>
    <t xml:space="preserve">Software/AI consultancy</t>
  </si>
  <si>
    <t xml:space="preserve">Engineering firm whose AI line covers custom agents and workflow automation</t>
  </si>
  <si>
    <t xml:space="preserve">300+ (q.agency (https://q.agency/))</t>
  </si>
  <si>
    <t xml:space="preserve">"AI and Data: custom agents, workflow automation, data integration"; "Human-Agent Pods"; an AI-architect ad weighs "n8n vs code-native" orchestration (Jooble (https://hr.jooble.org/desc/7847770379059401558))</t>
  </si>
  <si>
    <t xml:space="preserve">Human-agent pods map onto ByteChef agents plus human-in-the-loop</t>
  </si>
  <si>
    <t xml:space="preserve">2/0/1/2/1</t>
  </si>
  <si>
    <t xml:space="preserve">Your Human-Agent Pods need a production runtime. ByteChef is an open-source, self-hostable workflow and AI-agent platform with human-in-the-loop that Q could implement for clients with no licence to start.</t>
  </si>
  <si>
    <t xml:space="preserve">Filip Ljubić (Founder and CEO)</t>
  </si>
  <si>
    <t xml:space="preserve">Devōt</t>
  </si>
  <si>
    <t xml:space="preserve">devot.team</t>
  </si>
  <si>
    <t xml:space="preserve">Zagreb / Osijek</t>
  </si>
  <si>
    <t xml:space="preserve">Software/AI dev shop</t>
  </si>
  <si>
    <t xml:space="preserve">Custom software (FinTech/HealthTech) with an AI-first practice</t>
  </si>
  <si>
    <t xml:space="preserve">50–249</t>
  </si>
  <si>
    <t xml:space="preserve">"Intelligent automation systems", "custom AI agents &amp; workflows"; stack is Java + Spring Boot and Ollama (AI services (https://devot.team/services/ai-development))</t>
  </si>
  <si>
    <t xml:space="preserve">Spring plus local-LLM interest fits self-hosted ByteChef</t>
  </si>
  <si>
    <t xml:space="preserve">2/1/1/1/1</t>
  </si>
  <si>
    <t xml:space="preserve">Your team already ships Spring Boot services and Ollama-based agents. ByteChef is a Spring-based, open-source workflow and agent platform Devōt can self-host for clients and extend with custom components.</t>
  </si>
  <si>
    <t xml:space="preserve">Martin Morava (Founder and CEO); Rino Kovačević (Lead AI Engineer)</t>
  </si>
  <si>
    <t xml:space="preserve">Neuralab</t>
  </si>
  <si>
    <t xml:space="preserve">neuralab.net</t>
  </si>
  <si>
    <t xml:space="preserve">Zagreb / New York</t>
  </si>
  <si>
    <t xml:space="preserve">Digital/e-commerce agency</t>
  </si>
  <si>
    <t xml:space="preserve">WooCommerce Platinum partner adding AI workflows; ISO 27001</t>
  </si>
  <si>
    <t xml:space="preserve">about 16</t>
  </si>
  <si>
    <t xml:space="preserve">"Claude-powered systems for content, operations and internal workflows"; OpenAI Select and Claude partner (home (https://www.neuralab.net/))</t>
  </si>
  <si>
    <t xml:space="preserve">Open-source ecosystem (WordPress/Woo); store-ops and agent automation</t>
  </si>
  <si>
    <t xml:space="preserve">You're wiring Claude into WooCommerce operations. ByteChef gives Neuralab an open-source, self-hosted automation and agent platform to productise those workflows across your store clients with unmetered execution.</t>
  </si>
  <si>
    <t xml:space="preserve">Krešimir Končić (Founder and CEO)</t>
  </si>
  <si>
    <t xml:space="preserve">LM Komunikacije</t>
  </si>
  <si>
    <t xml:space="preserve">lmkomunikacije.com</t>
  </si>
  <si>
    <t xml:space="preserve">Automation / marketing agency</t>
  </si>
  <si>
    <t xml:space="preserve">Former creative agency, now automation and digital systems for B2B</t>
  </si>
  <si>
    <t xml:space="preserve">unknown; 200+ B2B clients</t>
  </si>
  <si>
    <t xml:space="preserve">Make.com process automation, CRM integration, Claude and AWS Lambda; clients include Maistra, the Ministry of Health and Hrvatska Lutrija (site (https://lmkomunikacije.com/))</t>
  </si>
  <si>
    <t xml:space="preserve">Moves a Make-based practice to a self-hosted platform they control</t>
  </si>
  <si>
    <t xml:space="preserve">You build Make.com and CRM automations for 200+ B2B clients like Maistra. ByteChef lets LM Komunikacije run that work self-hosted with unmetered executions and AI agents, open source so there's no licence to start.</t>
  </si>
  <si>
    <t xml:space="preserve">Uvid</t>
  </si>
  <si>
    <t xml:space="preserve">uviddigital.hr</t>
  </si>
  <si>
    <t xml:space="preserve">Zagreb / Ivanić-Grad</t>
  </si>
  <si>
    <t xml:space="preserve">Odoo Silver partner + BI</t>
  </si>
  <si>
    <t xml:space="preserve">Industry-specific Odoo (with Fiskalizacija 2.0) for manufacturers; ISO 9001/27001</t>
  </si>
  <si>
    <t xml:space="preserve">11–50 (LinkedIn (https://hr.linkedin.com/company/uvid-d.o.o.))</t>
  </si>
  <si>
    <t xml:space="preserve">200+ ERP/BI projects; 25 Odoo references (uviddigital.hr (https://uviddigital.hr/))</t>
  </si>
  <si>
    <t xml:space="preserve">On-prem Odoo-to-MES, e-invoicing and BI flows for ISO 27001 manufacturers</t>
  </si>
  <si>
    <t xml:space="preserve">With 200+ Odoo/BI projects and ISO 27001, Uvid could offer manufacturers self-hosted ByteChef for Odoo↔MES and e-invoicing flows plus AI agents, without per-task fees.</t>
  </si>
  <si>
    <t xml:space="preserve">E-Sustavi</t>
  </si>
  <si>
    <t xml:space="preserve">e-sustavi.hr</t>
  </si>
  <si>
    <t xml:space="preserve">Odoo Gold partner (first in HR)</t>
  </si>
  <si>
    <t xml:space="preserve">Odoo/Luceed ERP for SMEs, ERP-integrated webshops, hosting</t>
  </si>
  <si>
    <t xml:space="preserve">about 10</t>
  </si>
  <si>
    <t xml:space="preserve">102 Odoo references (Odoo (https://www.odoo.com/partners/e-sustavi-doo-1462710)); builds e-shops integrated with Luceed/Odoo and hosts them (e-sustavi.hr (https://www.e-sustavi.hr/poslovna-rjesenja/odoo/))</t>
  </si>
  <si>
    <t xml:space="preserve">Largest Odoo customer base in Croatia, and already a host, so it could resell hosted ByteChef</t>
  </si>
  <si>
    <t xml:space="preserve">102 Odoo clients and your own hosting make you the natural home for self-hosted ByteChef, which connects Odoo and e-shops to everything else, with AI agents and no per-task pricing.</t>
  </si>
  <si>
    <t xml:space="preserve">Mario Marinić (Authorised representative)</t>
  </si>
  <si>
    <t xml:space="preserve">Ecodica</t>
  </si>
  <si>
    <t xml:space="preserve">ecodica.eu</t>
  </si>
  <si>
    <t xml:space="preserve">Odoo Silver partner (OCA-based) + MES</t>
  </si>
  <si>
    <t xml:space="preserve">Odoo ERP and MES/Industry 4.0 for manufacturing, engineering and shipbuilding</t>
  </si>
  <si>
    <t xml:space="preserve">unknown; 50+ projects (ecodica.eu (https://www.ecodica.eu/))</t>
  </si>
  <si>
    <t xml:space="preserve">IoT/MES-to-ERP integrations on OCA community Odoo; public Odoo fork (GitHub (https://github.com/ecodica/odoo))</t>
  </si>
  <si>
    <t xml:space="preserve">Community, self-hosted culture; IoT-to-MES-to-ERP pipelines</t>
  </si>
  <si>
    <t xml:space="preserve">2/2/2/0/0</t>
  </si>
  <si>
    <t xml:space="preserve">You build on OCA community Odoo and wire IoT/MES into it. ByteChef is the open-source, self-hosted workflow engine for those shop-floor integrations, with AI agents and no per-task cost.</t>
  </si>
  <si>
    <t xml:space="preserve">Maven Mule</t>
  </si>
  <si>
    <t xml:space="preserve">mavenmule.com</t>
  </si>
  <si>
    <t xml:space="preserve">Salesforce consultancy + ISV (document automation)</t>
  </si>
  <si>
    <t xml:space="preserve">Salesforce implementation and integration plus its own document and CLM products</t>
  </si>
  <si>
    <t xml:space="preserve">about 29–32 (ZoomInfo (https://www.zoominfo.com/c/maven-mule/450675461))</t>
  </si>
  <si>
    <t xml:space="preserve">"Integration Services: data integration and intelligent automation"; clients include VodafoneZiggo, Deutsche Bank, Knauf (mavenmule.com (https://www.mavenmule.com/))</t>
  </si>
  <si>
    <t xml:space="preserve">Self-hostable integration option for mid-market Salesforce clients priced out of MuleSoft</t>
  </si>
  <si>
    <t xml:space="preserve">3/0/2/1/0</t>
  </si>
  <si>
    <t xml:space="preserve">For clients who don't need MuleSoft pricing, ByteChef gives you an open-source, self-hosted integration and AI-agent engine to sit beside Salesforce, unmetered.</t>
  </si>
  <si>
    <t xml:space="preserve">Dragan Vujnović (CEO and Technical Architect); Ivan Tadić (CTO)</t>
  </si>
  <si>
    <t xml:space="preserve">Sysbee (Plus Hosting Grupa)</t>
  </si>
  <si>
    <t xml:space="preserve">sysbee.net</t>
  </si>
  <si>
    <t xml:space="preserve">Managed cloud / DevOps (AWS Select)</t>
  </si>
  <si>
    <t xml:space="preserve">Managed infrastructure, containers/Kubernetes and open-source monitoring for SMEs</t>
  </si>
  <si>
    <t xml:space="preserve">unknown (DHH group) (about (https://www.sysbee.net/about/))</t>
  </si>
  <si>
    <t xml:space="preserve">Kubernetes DevOps suite (devops (https://www.sysbee.net/devops-services/)); little integration-practice evidence</t>
  </si>
  <si>
    <t xml:space="preserve">Managed-hosting channel: "ByteChef hosted in Croatia" for SMEs that want self-hosting without the ops</t>
  </si>
  <si>
    <t xml:space="preserve">1/2/2/1/0</t>
  </si>
  <si>
    <t xml:space="preserve">Your SME clients want self-hosted n8n/Zapier alternatives but not the ops work. A managed ByteChef on Sysbee's Kubernetes stack would be an open-source, unmetered offer.</t>
  </si>
  <si>
    <t xml:space="preserve">Veljko Drakulić (Board member)</t>
  </si>
  <si>
    <t xml:space="preserve">Lauris</t>
  </si>
  <si>
    <t xml:space="preserve">lauris.com</t>
  </si>
  <si>
    <t xml:space="preserve">HubSpot partner (+ hospitality tech)</t>
  </si>
  <si>
    <t xml:space="preserve">Says it is Croatia's largest HubSpot partner (Diamond)</t>
  </si>
  <si>
    <t xml:space="preserve">Sales/marketing automation; custom integrations (Opera Cloud–HubSpot, Aircall–HubSpot, booking–loyalty) (integrations (https://www.lauris.com/integrations-migrations)); clients include BlueSun and Sunčani Hvar</t>
  </si>
  <si>
    <t xml:space="preserve">A self-hosted integration layer for hospitality PMS/booking/CRM flows</t>
  </si>
  <si>
    <t xml:space="preserve">Your Opera Cloud–HubSpot integration is exactly the kind of flow ByteChef runs. Partner with us to deliver self-hosted, unmetered hotel automations, open source so there's no licence to start.</t>
  </si>
  <si>
    <t xml:space="preserve">Luka Šimić (role unknown)</t>
  </si>
  <si>
    <t xml:space="preserve">Ingemark</t>
  </si>
  <si>
    <t xml:space="preserve">ingemark.com</t>
  </si>
  <si>
    <t xml:space="preserve">Enterprise software engineering</t>
  </si>
  <si>
    <t xml:space="preserve">Senior engineering for enterprise integration, AI and DevSecOps</t>
  </si>
  <si>
    <t xml:space="preserve">50–76</t>
  </si>
  <si>
    <t xml:space="preserve">Java/Spring "integration components" (job ad (https://ingemark.talentlyft.com/jobs/senior-java-developer-mf-jNS)). Has its own AssistCraft multi-agent platform, which overlaps</t>
  </si>
  <si>
    <t xml:space="preserve">Spring integration DNA; a workflow layer beside AssistCraft</t>
  </si>
  <si>
    <t xml:space="preserve">2/0/1/1/1</t>
  </si>
  <si>
    <t xml:space="preserve">Your Java teams already build Spring integration components for SEE enterprises. ByteChef is a Spring-based, open-source workflow platform Ingemark could deploy self-hosted under those integrations, with no licence to start.</t>
  </si>
  <si>
    <t xml:space="preserve">Viktor Matić (Co-founder)</t>
  </si>
  <si>
    <t xml:space="preserve">EXCEED Solutions</t>
  </si>
  <si>
    <t xml:space="preserve">exceed.hr</t>
  </si>
  <si>
    <t xml:space="preserve">Microsoft Power Platform boutique</t>
  </si>
  <si>
    <t xml:space="preserve">Power BI, Fabric, Power Apps and Power Automate consultancy and training</t>
  </si>
  <si>
    <t xml:space="preserve">5 named core team</t>
  </si>
  <si>
    <t xml:space="preserve">Power Automate solutions; 90+ clients and 150+ projects incl. Samsung, Bosch, Intesa Sanpaolo (about (https://exceed.hr/en/about/))</t>
  </si>
  <si>
    <t xml:space="preserve">An option for clients outside Microsoft licensing or needing on-prem, unmetered flows</t>
  </si>
  <si>
    <t xml:space="preserve">You've delivered 150+ Power Platform projects. ByteChef gives EXCEED a self-hosted, open-source automation option for clients who want flows without per-user Power Automate licensing.</t>
  </si>
  <si>
    <t xml:space="preserve">Krešimir Ledinski (Fabric Architect / MCT)</t>
  </si>
  <si>
    <t xml:space="preserve">DignetSoftware</t>
  </si>
  <si>
    <t xml:space="preserve">dignet.hr</t>
  </si>
  <si>
    <t xml:space="preserve">Microsoft Dynamics BC / LS Central partner</t>
  </si>
  <si>
    <t xml:space="preserve">Business Central, LS Central retail and Dynamicweb e-commerce; BC localisation for 5 Adriatic countries</t>
  </si>
  <si>
    <t xml:space="preserve">about 25</t>
  </si>
  <si>
    <t xml:space="preserve">BC-to-Shopify integration, Dynamics integrations and e-invoicing modules (about (https://www.dignet.hr/en/about-us))</t>
  </si>
  <si>
    <t xml:space="preserve">Retail/e-commerce integrations around BC that Power Automate handles poorly or that must run on-prem</t>
  </si>
  <si>
    <t xml:space="preserve">You already build BC↔Shopify and e-invoicing links. ByteChef could carry the other 190+ connectors and AI agents for your retail clients, self-hosted and unmetered.</t>
  </si>
  <si>
    <t xml:space="preserve">2P</t>
  </si>
  <si>
    <t xml:space="preserve">2p.hr</t>
  </si>
  <si>
    <t xml:space="preserve">Odoo Silver partner</t>
  </si>
  <si>
    <t xml:space="preserve">Odoo for finance, sales, procurement and manufacturing</t>
  </si>
  <si>
    <t xml:space="preserve">unknown; 16 references (Odoo (https://www.odoo.com/partners/2p-d-o-o-14066453))</t>
  </si>
  <si>
    <t xml:space="preserve">ERP implementations for Byte-lab, Hell Energy Adria and MARBLE; no explicit integration practice</t>
  </si>
  <si>
    <t xml:space="preserve">Eastern-Croatia Odoo channel</t>
  </si>
  <si>
    <t xml:space="preserve">1/1/2/0/0</t>
  </si>
  <si>
    <t xml:space="preserve">Your Odoo clients like Hell Energy Adria will need Odoo talking to other systems. ByteChef gives 2P an open-source, self-hostable way to sell that, with no per-task fees.</t>
  </si>
  <si>
    <t xml:space="preserve">LeverUP</t>
  </si>
  <si>
    <t xml:space="preserve">leverup consulting</t>
  </si>
  <si>
    <t xml:space="preserve">Salesforce / Braze / Adobe martech consultancy</t>
  </si>
  <si>
    <t xml:space="preserve">Marketing Cloud, Braze and Adobe implementations</t>
  </si>
  <si>
    <t xml:space="preserve">11–50 (LinkedIn (https://hr.linkedin.com/company/leverup-consulting))</t>
  </si>
  <si>
    <t xml:space="preserve">Marketing-automation implementations</t>
  </si>
  <si>
    <t xml:space="preserve">Data-sync and AI-agent workflows feeding martech stacks</t>
  </si>
  <si>
    <t xml:space="preserve">MarTech journeys break where data has to move between systems. ByteChef is an open-source, self-hosted engine with AI agents to feed Braze and Marketing Cloud, unmetered.</t>
  </si>
  <si>
    <t xml:space="preserve">Daria Nemčonok (CEO and co-founder)</t>
  </si>
  <si>
    <t xml:space="preserve">name</t>
  </si>
  <si>
    <t xml:space="preserve">role</t>
  </si>
  <si>
    <t xml:space="preserve">linkedin</t>
  </si>
  <si>
    <t xml:space="preserve">buyer</t>
  </si>
  <si>
    <t xml:space="preserve">Hrvoje Ćosić</t>
  </si>
  <si>
    <t xml:space="preserve">Director / CEO</t>
  </si>
  <si>
    <t xml:space="preserve">https://www.linkedin.com/in/hrvoje-cosic-b4b6b438/</t>
  </si>
  <si>
    <t xml:space="preserve">Branimir Petrušić</t>
  </si>
  <si>
    <t xml:space="preserve">Director of Product (one source says CTO; unverified)</t>
  </si>
  <si>
    <t xml:space="preserve">Ivana Arambašić</t>
  </si>
  <si>
    <t xml:space="preserve">Head of IT Operations (as of 2022)</t>
  </si>
  <si>
    <t xml:space="preserve">Hrvoje Čuvalo</t>
  </si>
  <si>
    <t xml:space="preserve">President of the Board (IT sector director not named publicly)</t>
  </si>
  <si>
    <t xml:space="preserve">Stjepan Zelić</t>
  </si>
  <si>
    <t xml:space="preserve">Co-founder and CEO</t>
  </si>
  <si>
    <t xml:space="preserve">Toni Premeru / Branko-Silvio Premeru</t>
  </si>
  <si>
    <t xml:space="preserve">Owner / Director (sources differ)</t>
  </si>
  <si>
    <t xml:space="preserve">Hasan Ecesoy</t>
  </si>
  <si>
    <t xml:space="preserve">President of the Board; owns the IT and digital-transformation sectors</t>
  </si>
  <si>
    <t xml:space="preserve">Stjepan Adanić</t>
  </si>
  <si>
    <t xml:space="preserve">President of the Board</t>
  </si>
  <si>
    <t xml:space="preserve">Guillaume Rabhi</t>
  </si>
  <si>
    <t xml:space="preserve">Chief Digital Officer (the AI &amp; Automation role reports to him)</t>
  </si>
  <si>
    <t xml:space="preserve">Matija Žulj</t>
  </si>
  <si>
    <t xml:space="preserve">Founder and CEO</t>
  </si>
  <si>
    <t xml:space="preserve">https://www.linkedin.com/in/matijazulj/</t>
  </si>
  <si>
    <t xml:space="preserve">Damir Čaušević</t>
  </si>
  <si>
    <t xml:space="preserve">CEO</t>
  </si>
  <si>
    <t xml:space="preserve">Ivana Gažić</t>
  </si>
  <si>
    <t xml:space="preserve">Tomislav Jeletić</t>
  </si>
  <si>
    <t xml:space="preserve">Incoming CEO (from Feb 2027)</t>
  </si>
  <si>
    <t xml:space="preserve">Nikola Škorić</t>
  </si>
  <si>
    <t xml:space="preserve">Co-founder</t>
  </si>
  <si>
    <t xml:space="preserve">Marija Bošnjak</t>
  </si>
  <si>
    <t xml:space="preserve">Director</t>
  </si>
  <si>
    <t xml:space="preserve">Ivica Sulje</t>
  </si>
  <si>
    <t xml:space="preserve">Nikolina Feller</t>
  </si>
  <si>
    <t xml:space="preserve">Owner and director</t>
  </si>
  <si>
    <t xml:space="preserve">Rikard Pavelić</t>
  </si>
  <si>
    <t xml:space="preserve">CTO</t>
  </si>
  <si>
    <t xml:space="preserve">Tomislav Vajić</t>
  </si>
  <si>
    <t xml:space="preserve">Founder / Director</t>
  </si>
  <si>
    <t xml:space="preserve">https://www.linkedin.com/in/tomislav-vaji%C4%87-64a6471b2/</t>
  </si>
  <si>
    <t xml:space="preserve">Ivica Perić</t>
  </si>
  <si>
    <t xml:space="preserve">Bruno Palašek</t>
  </si>
  <si>
    <t xml:space="preserve">Monitoring and Control Systems Manager</t>
  </si>
  <si>
    <t xml:space="preserve">Marko Eljuga</t>
  </si>
  <si>
    <t xml:space="preserve">Management board</t>
  </si>
  <si>
    <t xml:space="preserve">Zdravko Petras</t>
  </si>
  <si>
    <t xml:space="preserve">Director (verify)</t>
  </si>
  <si>
    <t xml:space="preserve">Marko Togunjac</t>
  </si>
  <si>
    <t xml:space="preserve">Tomislav Mazal</t>
  </si>
  <si>
    <t xml:space="preserve">Tomislav Masten</t>
  </si>
  <si>
    <t xml:space="preserve">Davor Matošić</t>
  </si>
  <si>
    <t xml:space="preserve">Director (successor search open)</t>
  </si>
  <si>
    <t xml:space="preserve">Marko Pršić / Tomislav Dominković</t>
  </si>
  <si>
    <t xml:space="preserve">Chief AI Consultant / CEO</t>
  </si>
  <si>
    <t xml:space="preserve">Zvonimir Stanić</t>
  </si>
  <si>
    <t xml:space="preserve">Director, Centre for Educational Technologies (verify)</t>
  </si>
  <si>
    <t xml:space="preserve">Darko Knez</t>
  </si>
  <si>
    <t xml:space="preserve">Ivan Artuković</t>
  </si>
  <si>
    <t xml:space="preserve">Petar Nauković</t>
  </si>
  <si>
    <t xml:space="preserve">Co-owner, digitalisation lead</t>
  </si>
  <si>
    <t xml:space="preserve">Denis Piljek</t>
  </si>
  <si>
    <t xml:space="preserve">Owner–director</t>
  </si>
  <si>
    <t xml:space="preserve">Marko Cvetkovski</t>
  </si>
  <si>
    <t xml:space="preserve">Management</t>
  </si>
  <si>
    <t xml:space="preserve">Dubravko Puhelek</t>
  </si>
  <si>
    <t xml:space="preserve">Stipo Matić</t>
  </si>
  <si>
    <t xml:space="preserve">Mladen Zatezalo</t>
  </si>
  <si>
    <t xml:space="preserve">David Pejić</t>
  </si>
  <si>
    <t xml:space="preserve">Tomislav Jelić</t>
  </si>
  <si>
    <t xml:space="preserve">Saša Simić</t>
  </si>
  <si>
    <t xml:space="preserve">Vesna Ramljak</t>
  </si>
  <si>
    <t xml:space="preserve">Mario Vrgoč</t>
  </si>
  <si>
    <t xml:space="preserve">Hrvoje Draksler</t>
  </si>
  <si>
    <t xml:space="preserve">Goran Varat</t>
  </si>
  <si>
    <t xml:space="preserve">Board member and CFO</t>
  </si>
  <si>
    <t xml:space="preserve">Marko Klemenčič</t>
  </si>
  <si>
    <t xml:space="preserve">Tomislav Novačić</t>
  </si>
  <si>
    <t xml:space="preserve">Mladen Jukić</t>
  </si>
  <si>
    <t xml:space="preserve">Chief Director</t>
  </si>
  <si>
    <t xml:space="preserve">Bernhard Melischnig</t>
  </si>
  <si>
    <t xml:space="preserve">Ivan Kurtović</t>
  </si>
  <si>
    <t xml:space="preserve">Dijana Kalinić</t>
  </si>
  <si>
    <t xml:space="preserve">Board member</t>
  </si>
  <si>
    <t xml:space="preserve">István Major</t>
  </si>
  <si>
    <t xml:space="preserve">Mario Županović</t>
  </si>
  <si>
    <t xml:space="preserve">Dalibor Filipović-Grčić</t>
  </si>
  <si>
    <t xml:space="preserve">Ivan Radoš</t>
  </si>
  <si>
    <t xml:space="preserve">Director, Information Security</t>
  </si>
  <si>
    <t xml:space="preserve">Goran Manfreda</t>
  </si>
  <si>
    <t xml:space="preserve">Management Board</t>
  </si>
  <si>
    <t xml:space="preserve">Mirko Habijanec</t>
  </si>
  <si>
    <t xml:space="preserve">Marin Bodrušić</t>
  </si>
  <si>
    <t xml:space="preserve">Board member, finance and IT</t>
  </si>
  <si>
    <t xml:space="preserve">Sandra Stojak</t>
  </si>
  <si>
    <t xml:space="preserve">Teo Prkić</t>
  </si>
  <si>
    <t xml:space="preserve">Head of Membership (2021)</t>
  </si>
  <si>
    <t xml:space="preserve">Igor Tatarević</t>
  </si>
  <si>
    <t xml:space="preserve">Owner / Director</t>
  </si>
  <si>
    <t xml:space="preserve">Matija Babić</t>
  </si>
  <si>
    <t xml:space="preserve">Vladimir Minovski</t>
  </si>
  <si>
    <t xml:space="preserve">Owner and GM</t>
  </si>
  <si>
    <t xml:space="preserve">Robert Ilijas</t>
  </si>
  <si>
    <t xml:space="preserve">Tomislav Bošnjaković</t>
  </si>
  <si>
    <t xml:space="preserve">COO</t>
  </si>
  <si>
    <t xml:space="preserve">Vidor Gencel</t>
  </si>
  <si>
    <t xml:space="preserve">Iva Vukina</t>
  </si>
  <si>
    <t xml:space="preserve">Chief Commercial Officer</t>
  </si>
  <si>
    <t xml:space="preserve">Marko Pejković</t>
  </si>
  <si>
    <t xml:space="preserve">Alan Sumina</t>
  </si>
  <si>
    <t xml:space="preserve">Hrvoje Pezić</t>
  </si>
  <si>
    <t xml:space="preserve">President of the Board (covers IT)</t>
  </si>
  <si>
    <t xml:space="preserve">Boris Zadro</t>
  </si>
  <si>
    <t xml:space="preserve">Danijel Pasarić</t>
  </si>
  <si>
    <t xml:space="preserve">Kristina Zver</t>
  </si>
  <si>
    <t xml:space="preserve">Head of Operations</t>
  </si>
  <si>
    <t xml:space="preserve">Josip Čorić</t>
  </si>
  <si>
    <t xml:space="preserve">Director (interim)</t>
  </si>
  <si>
    <t xml:space="preserve">Tomislav Vuić</t>
  </si>
  <si>
    <t xml:space="preserve">Director of Digital R&amp;D (Blitz group)</t>
  </si>
  <si>
    <t xml:space="preserve">https://www.linkedin.com/in/tomislav-vuic-36924b6/</t>
  </si>
  <si>
    <t xml:space="preserve">Nikola Čičak</t>
  </si>
  <si>
    <t xml:space="preserve">Director and co-owner</t>
  </si>
  <si>
    <t xml:space="preserve">Boris Blažević</t>
  </si>
  <si>
    <t xml:space="preserve">Ivan Gregov</t>
  </si>
  <si>
    <t xml:space="preserve">Anđelko Ćurić</t>
  </si>
  <si>
    <t xml:space="preserve">Marko Krmpotić</t>
  </si>
  <si>
    <t xml:space="preserve">Owner</t>
  </si>
  <si>
    <t xml:space="preserve">Zrinka Bokulić</t>
  </si>
  <si>
    <t xml:space="preserve">Alen Mrvac</t>
  </si>
  <si>
    <t xml:space="preserve">Country lead (title unverified)</t>
  </si>
  <si>
    <t xml:space="preserve">Kristian Schuster</t>
  </si>
  <si>
    <t xml:space="preserve">Director (registry sources differ)</t>
  </si>
  <si>
    <t xml:space="preserve">Ivan Brkić</t>
  </si>
  <si>
    <t xml:space="preserve">Managing Director</t>
  </si>
  <si>
    <t xml:space="preserve">https://www.linkedin.com/in/ivan-brki/</t>
  </si>
  <si>
    <t xml:space="preserve">Pero Pehar</t>
  </si>
  <si>
    <t xml:space="preserve">Damir Kaknjo</t>
  </si>
  <si>
    <t xml:space="preserve">IT Manager</t>
  </si>
  <si>
    <t xml:space="preserve">https://www.linkedin.com/in/damir-kaknjo-5a85a293/</t>
  </si>
  <si>
    <t xml:space="preserve">Goran Novak</t>
  </si>
  <si>
    <t xml:space="preserve">https://www.linkedin.com/in/gorannovak/</t>
  </si>
  <si>
    <t xml:space="preserve">Krešimir Bušić</t>
  </si>
  <si>
    <t xml:space="preserve">Director of Automation and Innovation</t>
  </si>
  <si>
    <t xml:space="preserve">Adriana Sabljak</t>
  </si>
  <si>
    <t xml:space="preserve">Danijel Pevec</t>
  </si>
  <si>
    <t xml:space="preserve">Alen Salamun</t>
  </si>
  <si>
    <t xml:space="preserve">Zdravko Tudor</t>
  </si>
  <si>
    <t xml:space="preserve">IT Director</t>
  </si>
  <si>
    <t xml:space="preserve">Ankica Kruljac</t>
  </si>
  <si>
    <t xml:space="preserve">Marko Ražem</t>
  </si>
  <si>
    <t xml:space="preserve">Stjepan Žunić</t>
  </si>
  <si>
    <t xml:space="preserve">Josip Klišmanić</t>
  </si>
  <si>
    <t xml:space="preserve">Boris Žgomba</t>
  </si>
  <si>
    <t xml:space="preserve">Co-founder, President of the Board</t>
  </si>
  <si>
    <t xml:space="preserve">Luka Šangulin</t>
  </si>
  <si>
    <t xml:space="preserve">Chairman</t>
  </si>
  <si>
    <t xml:space="preserve">Martin Jan Verschuijl</t>
  </si>
  <si>
    <t xml:space="preserve">Goran Ražnjević</t>
  </si>
  <si>
    <t xml:space="preserve">partner</t>
  </si>
  <si>
    <t xml:space="preserve">Vjekoslav Jadrešić</t>
  </si>
  <si>
    <t xml:space="preserve">Management Board member</t>
  </si>
  <si>
    <t xml:space="preserve">Krešimir Mudrovčić</t>
  </si>
  <si>
    <t xml:space="preserve">Ivan Belić</t>
  </si>
  <si>
    <t xml:space="preserve">Marko Štefančić</t>
  </si>
  <si>
    <t xml:space="preserve">Igor Pauletič</t>
  </si>
  <si>
    <t xml:space="preserve">https://www.linkedin.com/in/igorpauletic/</t>
  </si>
  <si>
    <t xml:space="preserve">Nikola Kapraljević</t>
  </si>
  <si>
    <t xml:space="preserve">Filip Ljubić</t>
  </si>
  <si>
    <t xml:space="preserve">https://hr.linkedin.com/in/filipljubic</t>
  </si>
  <si>
    <t xml:space="preserve">Martin Morava</t>
  </si>
  <si>
    <t xml:space="preserve">https://www.linkedin.com/in/mmorava/</t>
  </si>
  <si>
    <t xml:space="preserve">Rino Kovačević</t>
  </si>
  <si>
    <t xml:space="preserve">Lead AI Engineer</t>
  </si>
  <si>
    <t xml:space="preserve">Krešimir Končić</t>
  </si>
  <si>
    <t xml:space="preserve">https://www.linkedin.com/in/koncic/</t>
  </si>
  <si>
    <t xml:space="preserve">Luka Šimić</t>
  </si>
  <si>
    <t xml:space="preserve">role unknown</t>
  </si>
  <si>
    <t xml:space="preserve">https://www.linkedin.com/in/simic-luka/</t>
  </si>
  <si>
    <t xml:space="preserve">Viktor Matić</t>
  </si>
  <si>
    <t xml:space="preserve">Krešimir Ledinski</t>
  </si>
  <si>
    <t xml:space="preserve">Fabric Architect / MCT</t>
  </si>
  <si>
    <t xml:space="preserve">https://www.linkedin.com/in/kresimir-ledinski/</t>
  </si>
  <si>
    <t xml:space="preserve">Hinko-Ivan Sečen</t>
  </si>
  <si>
    <t xml:space="preserve">Luka Ostović</t>
  </si>
  <si>
    <t xml:space="preserve">Filip Žić</t>
  </si>
  <si>
    <t xml:space="preserve">Zvonimir Tokić</t>
  </si>
  <si>
    <t xml:space="preserve">Ivo Lukač</t>
  </si>
  <si>
    <t xml:space="preserve">Igor Vrdoljak</t>
  </si>
  <si>
    <t xml:space="preserve">Lidija Karaga</t>
  </si>
  <si>
    <t xml:space="preserve">https://www.linkedin.com/in/lidija-karaga-4b00471a/</t>
  </si>
  <si>
    <t xml:space="preserve">Mario Marinić</t>
  </si>
  <si>
    <t xml:space="preserve">Authorised representative</t>
  </si>
  <si>
    <t xml:space="preserve">Dragan Vujnović</t>
  </si>
  <si>
    <t xml:space="preserve">CEO and Technical Architect</t>
  </si>
  <si>
    <t xml:space="preserve">Ivan Tadić</t>
  </si>
  <si>
    <t xml:space="preserve">Veljko Drakulić</t>
  </si>
  <si>
    <t xml:space="preserve">Daria Nemčonok</t>
  </si>
  <si>
    <t xml:space="preserve">CEO and co-founder</t>
  </si>
  <si>
    <t xml:space="preserve">https://hr.linkedin.com/in/daria-nemchonok</t>
  </si>
  <si>
    <t xml:space="preserve">HOW TO USE THIS WORKBOOK</t>
  </si>
  <si>
    <t xml:space="preserve">Buyers: 114 internal-use buyers, sorted by score. list = target for rows 1-100, reserve for 101+. Partners: 27 implementation partners. Contacts: one row per person, joined by company name; n_contacts counts them. Yellow columns are for outreach tracking.</t>
  </si>
  <si>
    <t xml:space="preserve">Below: method, rubrics, caveats, sequencing, events, low-confidence entries, exclusions and research gaps from bytechef-automation-target-list-croatia-2026-10.md.</t>
  </si>
  <si>
    <t xml:space="preserve">ByteChef Automation (Track A) - Croatia Target List (first cut, expanded)</t>
  </si>
  <si>
    <t xml:space="preserve">Date: October 4, 2026 · Companies: 114 internal-use buyers (target 100) + 27 implementation partners · Purpose: GTM strategy §6, Track A (OSS Automation). These are Croatian companies that would run ByteChef for their own internal automation and AI agents, plus the agencies that could implement it for many such companies. The embedded (Track B) Croatia segment lives in bytechef-embedded-target-list-2026-07.md.</t>
  </si>
  <si>
    <t xml:space="preserve">How this list was built</t>
  </si>
  <si>
    <t xml:space="preserve">Three parallel research passes against the §6.1 ICP:</t>
  </si>
  <si>
    <t xml:space="preserve">1. Companies with direct automation-tooling signals: job ads, posts or talks naming Zapier, Make, n8n, Power Automate, RPA or AI-agent work.</t>
  </si>
  <si>
    <t xml:space="preserve">2. Self-host and regulated mid-size organisations: fintech, banking, crypto, energy, healthcare, Java/Spring shops, and anyone under DORA, NIS2 or MiCA.</t>
  </si>
  <si>
    <t xml:space="preserve">3. Implementation partners: Croatian agencies, consultancies and integrators that already sell automation work.</t>
  </si>
  <si>
    <t xml:space="preserve">A second round (same day) widened the buyer search to 100 with sector passes: tech and product companies, e-commerce and retail, tourism and hospitality, manufacturing/energy/logistics, finance/insurance/healthcare, media/telecom/services, utilities/public companies/food/education, plus a top-up of leftovers and a second partner pass (Odoo, Red Hat, Salesforce, Dynamics and Bitrix24 partners). Headcounts come mostly from Fina InfoBiz, CompanyWall and reputacija.hr (2025 filings); companies over 500 by FINA headcount were dropped, and every company appears once.</t>
  </si>
  <si>
    <t xml:space="preserve">ICP (§6.1): 10–500 people with engineering capability; a preference for self-hosting (data control, EU compliance, predictable cost); currently on Zapier/Make and hitting per-task price walls, or outgrowing n8n; teams standardising AI agents that need guardrails and human-in-the-loop. Excluded: companies over 500 people, automation/iPaaS/RPA vendors (competitors), and, from the buyer list, agencies (they are scored as partners).</t>
  </si>
  <si>
    <t xml:space="preserve">Buyer rubric (/10): Size fit 0–2 · Engineering capability 0–2 (Java/Spring stack = 2) · Automation signal 0–3 (3 = a named Zapier/Make/n8n/Power Automate tool or an automation hire) · Self-host / compliance driver 0–2 · AI-agent signal +1.</t>
  </si>
  <si>
    <t xml:space="preserve">Partner rubric (/10): Automation-practice evidence 0–3 · Open-source / self-host affinity 0–2 · Client-base fit (Croatian/EU SMB and mid-market) 0–2 · Size/reach 0–2 · Java/Spring or AI-agent practice +1.</t>
  </si>
  <si>
    <t xml:space="preserve">Read before sending anything:</t>
  </si>
  <si>
    <t xml:space="preserve">1. Track A is an inbound-led motion in the strategy. This list is for selective, founder-led outreach in the home market, aimed at first payers and early production references, not a volume sequence. Keep it below the Track B sprint in priority until the Day-90 gate.</t>
  </si>
  <si>
    <t xml:space="preserve">2. Coverage is partial. The tooling-signal pass hit its search cap and LinkedIn rate limits; Croatian job boards are poorly indexed by search; and the Make, Zapier and n8n partner directories could not be filtered by country. Treat this as a first cut and do a manual sweep (see *Research gaps*).</t>
  </si>
  <si>
    <t xml:space="preserve">3. Many signals are job ads. Ads close and roles change, so re-open each one before citing it. Hooks that reference a posting should say "saw you were hiring for…", not "you use…".</t>
  </si>
  <si>
    <t xml:space="preserve">4. Regulated buyers (banks, HBOR, JANAF, ZSE) have long cycles and public-procurement rules. They are good self-host proof points, but slow to become first payers.</t>
  </si>
  <si>
    <t xml:space="preserve">5. Pitch in Croatian. "Open source" is literally true for Track A, so say it plainly (strategy §3.2).</t>
  </si>
  <si>
    <t xml:space="preserve">Suggested sequencing</t>
  </si>
  <si>
    <t xml:space="preserve">1. Partners first. One agency that already sells Make or n8n work reaches dozens of SMBs. Start with CROZ, Kodilion, Notch and Provexio; treat the micro n8n shops (Sinqra, AIS Tech, cerkicai) as quick design-partner conversations; and run the Odoo partners as one mini-campaign with one pitch ("the integration layer around Odoo").</t>
  </si>
  <si>
    <t xml:space="preserve">2. Named-tool users next. Companies with budget and intent today: Alma Career Croatia (an Internal Tools Engineer for M365/Slack/Power Platform automation and AI in IT ops), Plavi tim (INA's IT company, 100+ UiPath robots), FORA Solutions (a payments-support lead to cut manual work), PREMIS (n8n/Make/Zapier in its job ad), A.G.S. Zagreb (heavy Power Automate use), GA Croatia (a Power Platform process-automation hire), Hypefy (AI Enablement building workflow agents), AGRIVI (AI &amp; Automation Engineer), Hidrocibalae (200+ Python automations and a new Head of Technology), Zagrel Rittmeyer (PowerShell/Python process automation), and MTS online (n8n in its stack, under the size floor).</t>
  </si>
  <si>
    <t xml:space="preserve">3. Regulated self-hosters in parallel, as slow burners. Lead with self-hosting inside the DORA/NIS2/MiCA perimeter, AI agents with human approval, and no per-task fees:</t>
  </si>
  <si>
    <t xml:space="preserve">- finance: Aircash, HBOR, KentBank, J&amp;T banka, Solvera, HOK, Erste Group Card Processor, Identyum</t>
  </si>
  <si>
    <t xml:space="preserve">- water utilities: VIK Split, Međimurske vode, Vodovod-Osijek, Koprivničke vode</t>
  </si>
  <si>
    <t xml:space="preserve">- energy and ports: Plinacro, Luka Ploče, AGCT</t>
  </si>
  <si>
    <t xml:space="preserve">4. One account, several companies. Poslovni sustavi (Rijeka) runs IT for five city companies. Agram Life and Specijalna bolnica AGRAM share Agram-group IT. Angelina Yachting and Ultra Sailing share a board. Approach each group once.</t>
  </si>
  <si>
    <t xml:space="preserve">Internal-use buyers (114)</t>
  </si>
  <si>
    <t xml:space="preserve">Internal-use buyers (114): Companies whose own teams would run ByteChef inside their processes. Sorted by score; the first 100 rows are the target list and rows 101+ are reserve. Score distribution: 9: 3, 8: 5, 7: 24, 6: 35, 5: 23, 4: 24.</t>
  </si>
  <si>
    <t xml:space="preserve">Internal-use buyers (114): The 4s are mostly inferred from multi-system operations (webshop + B2B + service, several plants or sites) rather than a named tool or hire. Use them as the long tail after the 6+ rows, and re-check the evidence before writing.</t>
  </si>
  <si>
    <t xml:space="preserve">Internal-use buyers (114): Also relevant to the embedded list: AGRIVI, Hypefy and Oradian are Track B prospects too. Ciklopea (its own Orchestrum TMS), AdriaScan (a CONNECTOR integration layer for 3,800 hotels), Lognet (TMS/yard SaaS) and Entrio (multi-country ticketing) sell software of their own and could be pitched embedded instead. Pick one track and one owner per account.</t>
  </si>
  <si>
    <t xml:space="preserve">Implementation partners (27)</t>
  </si>
  <si>
    <t xml:space="preserve">Implementation partners (27): Consultancies that would deliver ByteChef to their own clients. Counted separately from the 100 buyers. Three clusters stand out: the Red Hat / Java / open-source shops (CROZ, Kodilion, Nimium, Netgen, Notch), the Odoo partners (E-Sustavi with 102 Odoo clients, Notus IT, Uvid, Ecodica, 2P), and the agencies already selling Make, Zapier or n8n work (Provexio, LM Komunikacije). Montelektro and Zagrel Rittmeyer appear as buyers but are industrial-automation integrators that could also resell.</t>
  </si>
  <si>
    <t xml:space="preserve">Suggested contacts</t>
  </si>
  <si>
    <t xml:space="preserve">Suggested contacts: LinkedIn URLs appear only where a search result surfaced them. Verify each name and role before sending.</t>
  </si>
  <si>
    <t xml:space="preserve">Contacts not captured: Provexio, LM Komunikacije</t>
  </si>
  <si>
    <t xml:space="preserve">Events and community</t>
  </si>
  <si>
    <t xml:space="preserve">- Automation Summit (ICT Business). A regional AI and automation conference. It is organised by Robotiq.ai, a competitor, so attending is useful for scouting, but it is not a stage for us (ICT Business (https://www.ictbusiness.info/leadership/novo-izdanje-automation-summita-kljucni-ljudi-regije-u-doba-ai-ja-na-jednom-mjestu)).</t>
  </si>
  <si>
    <t xml:space="preserve">- Unlock Rab. Comsysto Reply's CEO gave an n8n keynote there (unlock-rab.com (https://www.unlock-rab.com/)), so the audience is already n8n-curious. Worth a talk proposal: "open-source automation and AI agents without per-task pricing".</t>
  </si>
  <si>
    <t xml:space="preserve">Low-confidence entries</t>
  </si>
  <si>
    <t xml:space="preserve">Buyers</t>
  </si>
  <si>
    <t xml:space="preserve">- MTS online (Varaždin, e-commerce). The strongest literal signal of all: n8n is in a Senior PHP Developer ad, alongside Shopware 6, Pimcore and SAP B1 (MojPosao (https://mojposao.hr/posao/454f399f-0372-11f1-95e8-026fbd86650d/senior-php-developer-m-z)). But it has 7 employees (fininfo (https://www.fininfo.hr/Poduzece/Pregled/mts-online/Detaljno/647169)), so it falls under the size floor. A perfect "already on n8n" conversation. Contact: Dejan Todorović, director.</t>
  </si>
  <si>
    <t xml:space="preserve">- Školska knjiga (Zagreb, publisher). Hiring a coordinator for SAP/CRM/WMS/webshop integrations (LinkedIn (https://hr.linkedin.com/jobs/view/koordinator-poslovnih-digitalnih-sustava-m-%C5%BE-at-%C5%A1kolska-knjiga-4471824072)). Size unknown. About 4.</t>
  </si>
  <si>
    <t xml:space="preserve">- CorvusPay (Zagreb, about 25 people). First HNB-licensed PSD2 payment initiator and PCI DSS compliant; its sister company Corvus Info hires Java developers. No automation evidence. About 5.</t>
  </si>
  <si>
    <t xml:space="preserve">- Foxelli Group (D2C). Has a Zagreb AI-engineer role automating creative and analytical workflows with LangChain/CrewAI, but its HQ appears to be Amsterdam.</t>
  </si>
  <si>
    <t xml:space="preserve">- PESTRID (Bilje, 20 people). A process and digital-technology hire; no tools named.</t>
  </si>
  <si>
    <t xml:space="preserve">- Money Motion (Zagreb fintech). Its co-founder spoke at Automation Summit 2026. Size and tools unknown.</t>
  </si>
  <si>
    <t xml:space="preserve">- In the table, but check first:</t>
  </si>
  <si>
    <t xml:space="preserve">- Below or near the size limits: Qure Skincare (9 employees per CompanyWall), KEKS Pay (13), Zračna luka Split (464), Vodovod-Osijek (460).</t>
  </si>
  <si>
    <t xml:space="preserve">- Old or indirect evidence: Porsche Leasing's digitalisation ad dates from 2021. Akromion's and Sv. Katarina's evidence comes from search snippets because their pages returned 403/404. Franck's headcount is from 2021–2023.</t>
  </si>
  <si>
    <t xml:space="preserve">- Group-controlled: Plavi tim (INA). Its own headcount is 162, but the parent is far larger.</t>
  </si>
  <si>
    <t xml:space="preserve">- Local IT authority uncertain (foreign group owner): A.G.S. Zagreb, AGCT (ICTSI), Sika Croatia, Big Bang Hrvatska, Porsche Leasing.</t>
  </si>
  <si>
    <t xml:space="preserve">- Public procurement applies: the water utilities, Plinacro, HBOR, JANAF and the airports.</t>
  </si>
  <si>
    <t xml:space="preserve">- Medical Intertrade, Poliklinika Bagatin, 3PL Croatia, DOK-ING, Sofascore, Fonoa, KIWI Vapor. Each has a plausible driver (EDI, regulated data, defence on-prem, size), but none shows automation evidence or a clear HQ/size.</t>
  </si>
  <si>
    <t xml:space="preserve">Partners</t>
  </si>
  <si>
    <t xml:space="preserve">- Micro n8n/Make shops (likely below the 5-person floor; good quick design-partner talks): Sinqra / aiedukacije.hr (Osijek; n8n workflows and AI agents, "50+ clients" in HR/SI/BiH/RS - site (https://aiedukacije.hr/); founder Antonio Vranješ), AIS Tech (Šibenik; n8n, with named clients - site (https://aistech.hr/); founder Lovre Petrina), cerkicai (Zagreb; Make, n8n and OpenAI - site (https://cerkicai.com/)), NodesLogic (n8n/Make/Zapier with Croatian SMB clients - site (https://nodeslogic.com/hr/)), KSHWmont (unverified), Best Advisory.</t>
  </si>
  <si>
    <t xml:space="preserve">- Margins (51–100 people; AI software services). Its marketing ad names Zapier and n8n (Jooble (https://hr.jooble.org/desc/1410090630258672910)). Partner profile; not yet scored.</t>
  </si>
  <si>
    <t xml:space="preserve">- BlackBox Strategies (Split; HubSpot RevOps agency). A RevOps architect ad requires Make/Zapier (LinkedIn (https://hr.linkedin.com/jobs/view/revenue-operations-architect-%E2%80%93-hubspot-contract-at-blackbox-strategies-4366957966)).</t>
  </si>
  <si>
    <t xml:space="preserve">- Other candidates:</t>
  </si>
  <si>
    <t xml:space="preserve">- STATIM (Split; UiPath and Power Automate RPA).</t>
  </si>
  <si>
    <t xml:space="preserve">- Start Digital (Split; AI agents for SMBs).</t>
  </si>
  <si>
    <t xml:space="preserve">- Integration Matters (Vukovar; Salesforce/MuleSoft, merged into Salesfive).</t>
  </si>
  <si>
    <t xml:space="preserve">- Undabot, Locastic (automation only listed as tags).</t>
  </si>
  <si>
    <t xml:space="preserve">- Asend (an obrt, i.e. a sole proprietorship).</t>
  </si>
  <si>
    <t xml:space="preserve">- Divine Solutions, inteligencija.hr, Stari Vuk (claims only).</t>
  </si>
  <si>
    <t xml:space="preserve">- Pontis Technology (Power Platform integrator, not researched).</t>
  </si>
  <si>
    <t xml:space="preserve">- Comsysto Reply (n8n keynote; part of the Reply group).</t>
  </si>
  <si>
    <t xml:space="preserve">Excluded after research</t>
  </si>
  <si>
    <t xml:space="preserve">- Over 500 people or foreign multinationals: ŽITO, GRAWE Hrvatska, Super Technologies, D.TRADING (DTEK), Vertiv, Danfoss, Pfizer, Teva, A1 Hrvatska, FOREO (unverified), BE-terna (Telefónica Tech), and the large integrators Span, King ICT, Combis and IN2. Abysalto (KING ICT group) is out for the same reason.</t>
  </si>
  <si>
    <t xml:space="preserve">- Competitors or adjacent vendors: Robotiq.ai (RPA), Bulb Tech (agentic customer-service automation), Ascalia (IIoT platform), Utiliter (its "Make.IT" is its own product), Infobip.</t>
  </si>
  <si>
    <t xml:space="preserve">- No automation signal found: Medikol, PPD, Lagermax, Overseas Trade, Orqa, SKDD, Payten HR, Microblink, MMK Booking Manager, Optimapharm, AbelaPharm, TensorPix, Rentlio, Productive (as buyers).</t>
  </si>
  <si>
    <t xml:space="preserve">- Not Croatian: IntegratingMe (Sarajevo; strong Make/Zapier partner, for a future Balkans list), Marteco (Belgrade), Bolutions (Serbia), JustAutomate, Hostaway, Gather 'n' Grow, Fashion&amp;Friends (Serbian owner), Lesnina (XXXLutz), Notino.</t>
  </si>
  <si>
    <t xml:space="preserve">- Strong signal, but over 500 people (watch list if the size cap is relaxed):</t>
  </si>
  <si>
    <t xml:space="preserve">- Super / Superbet: business-process analyst for RPA and agentic workflows.</t>
  </si>
  <si>
    <t xml:space="preserve">- D.TRADING (DTEK): power-trading processes and automation manager.</t>
  </si>
  <si>
    <t xml:space="preserve">- Liburnia Riviera Hoteli: hiring an Oracle OPERA Cloud PMS configuration specialist.</t>
  </si>
  <si>
    <t xml:space="preserve">- Optika Anda: webshop/ERP job ad.</t>
  </si>
  <si>
    <t xml:space="preserve">- Tehnix: runs Odoo.</t>
  </si>
  <si>
    <t xml:space="preserve">- Roto dinamic: business-applications specialist hire.</t>
  </si>
  <si>
    <t xml:space="preserve">- Vetropack Straža: SAP master-data hire.</t>
  </si>
  <si>
    <t xml:space="preserve">- ŽITO: AI-assistant specialist hire.</t>
  </si>
  <si>
    <t xml:space="preserve">- Imperial Riviera, Bluesun, Jadranka, Solaris/Amadria Park, Hanza Media, Telemach, Elipso, Oktal Pharma, Arsano Medical Group, Zračna luka Dubrovnik, Wiener, Sava, Triglav and UNIQA osiguranje.</t>
  </si>
  <si>
    <t xml:space="preserve">- Wrong shape: Automatizacija Svoboda (industrial SCADA), Sedam IT (own CRM products), Inchoo, Bornfight, Degordian (no automation offering), Kodius (8 people).</t>
  </si>
  <si>
    <t xml:space="preserve">Research gaps (manual follow-up)</t>
  </si>
  <si>
    <t xml:space="preserve">1. Job boards (partly done). The sweep read 883 of about 1,586 live MojPosao ads in full (until MojPosao returned 403) and 828 LinkedIn postings. n8n, Zapier, UiPath and RPA appear almost nowhere in current Croatian ads; PREMIS is the only MojPosao ad naming n8n/Make/Zapier. Joberty and HelloWorld render client-side and were not read. tportal's weekly IT-jobs roundups are a cheap recurring source.</t>
  </si>
  <si>
    <t xml:space="preserve">2. Partner directories. Open the Make partner directory, Zapier Experts and the n8n experts page in a browser and filter by Croatia. They render client-side and could not be queried.</t>
  </si>
  <si>
    <t xml:space="preserve">3. Microsoft Power Platform partners. Mid-size Croatian partners outside the big four integrators are unresearched. These are the "Power Automate licensing refugees" channel.</t>
  </si>
  <si>
    <t xml:space="preserve">4. Job boards, manual pass. MojPosao, Posao.hr and Joberty are poorly indexed. A manual keyword search for "n8n", "Make.com", "Zapier", "automatizacija" and "AI agent" on each board will likely turn up more named-tool buyers like PREMIS and MTS online.</t>
  </si>
  <si>
    <t xml:space="preserve">5. GitHub. Look for Croatian stargazers and issue authors on the ByteChef repo, and on n8n/Activepieces issues filed from Croatian companies. These are warm inbound-adjacent leads that the strategy's §6.2 instrumentation step wants anyway.</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</si>
</sst>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2"/>
      <name val="Arial"/>
      <family val="0"/>
      <charset val="1"/>
    </font>
    <font>
      <b val="true"/>
      <sz val="11"/>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FF9C4"/>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FFF9C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8"/>
    <col collapsed="false" customWidth="true" hidden="false" outlineLevel="0" max="4" min="4" style="0" width="12"/>
    <col collapsed="false" customWidth="true" hidden="false" outlineLevel="0" max="5" min="5" style="0" width="22"/>
    <col collapsed="false" customWidth="true" hidden="false" outlineLevel="0" max="6" min="6" style="0" width="40"/>
    <col collapsed="false" customWidth="true" hidden="false" outlineLevel="0" max="7" min="7" style="0" width="30"/>
    <col collapsed="false" customWidth="true" hidden="false" outlineLevel="0" max="8" min="8" style="0" width="60"/>
    <col collapsed="false" customWidth="true" hidden="false" outlineLevel="0" max="9" min="9" style="0" width="44"/>
    <col collapsed="false" customWidth="true" hidden="false" outlineLevel="0" max="10" min="10" style="0" width="11"/>
    <col collapsed="false" customWidth="true" hidden="false" outlineLevel="0" max="11" min="11" style="0" width="7"/>
    <col collapsed="false" customWidth="true" hidden="false" outlineLevel="0" max="12" min="12" style="0" width="60"/>
    <col collapsed="false" customWidth="true" hidden="false" outlineLevel="0" max="13" min="13" style="0" width="9"/>
    <col collapsed="false" customWidth="true" hidden="false" outlineLevel="0" max="14" min="14" style="0" width="40"/>
    <col collapsed="false" customWidth="true" hidden="false" outlineLevel="0" max="15" min="15" style="0" width="9"/>
    <col collapsed="false" customWidth="true" hidden="false" outlineLevel="0" max="16" min="16" style="0" width="11"/>
    <col collapsed="false" customWidth="true" hidden="false" outlineLevel="0" max="17" min="17" style="0" width="24"/>
    <col collapsed="false" customWidth="true" hidden="false" outlineLevel="0" max="20" min="18" style="0" width="12"/>
    <col collapsed="false" customWidth="true" hidden="false" outlineLevel="0" max="21" min="21" style="0" width="8"/>
    <col collapsed="false" customWidth="true" hidden="false" outlineLevel="0" max="23" min="22" style="0" width="12"/>
    <col collapsed="false" customWidth="true" hidden="false" outlineLevel="0" max="24" min="24" style="0" width="20"/>
    <col collapsed="false" customWidth="true" hidden="false" outlineLevel="0" max="25" min="25" style="0" width="3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ustomFormat="false" ht="102.2" hidden="false" customHeight="false" outlineLevel="0" collapsed="false">
      <c r="A2" s="2" t="n">
        <v>1</v>
      </c>
      <c r="B2" s="2" t="s">
        <v>25</v>
      </c>
      <c r="C2" s="2" t="s">
        <v>26</v>
      </c>
      <c r="D2" s="2" t="s">
        <v>27</v>
      </c>
      <c r="E2" s="2" t="s">
        <v>28</v>
      </c>
      <c r="F2" s="3" t="s">
        <v>29</v>
      </c>
      <c r="G2" s="2" t="s">
        <v>30</v>
      </c>
      <c r="H2" s="3" t="s">
        <v>31</v>
      </c>
      <c r="I2" s="3" t="s">
        <v>32</v>
      </c>
      <c r="J2" s="2" t="s">
        <v>33</v>
      </c>
      <c r="K2" s="2" t="n">
        <v>9</v>
      </c>
      <c r="L2" s="3" t="s">
        <v>34</v>
      </c>
      <c r="M2" s="2" t="s">
        <v>35</v>
      </c>
      <c r="N2" s="3" t="s">
        <v>36</v>
      </c>
      <c r="O2" s="2" t="n">
        <f aca="false">COUNTIF(Contacts!$B:$B,B2)</f>
        <v>3</v>
      </c>
      <c r="P2" s="4"/>
      <c r="Q2" s="4"/>
      <c r="R2" s="4"/>
      <c r="S2" s="4"/>
      <c r="T2" s="4"/>
      <c r="U2" s="4"/>
      <c r="V2" s="4"/>
      <c r="W2" s="4"/>
      <c r="X2" s="4"/>
      <c r="Y2" s="5"/>
    </row>
    <row r="3" customFormat="false" ht="46.25" hidden="false" customHeight="false" outlineLevel="0" collapsed="false">
      <c r="A3" s="2" t="n">
        <v>2</v>
      </c>
      <c r="B3" s="2" t="s">
        <v>37</v>
      </c>
      <c r="C3" s="2" t="s">
        <v>38</v>
      </c>
      <c r="D3" s="2" t="s">
        <v>27</v>
      </c>
      <c r="E3" s="2" t="s">
        <v>39</v>
      </c>
      <c r="F3" s="3" t="s">
        <v>40</v>
      </c>
      <c r="G3" s="2" t="s">
        <v>41</v>
      </c>
      <c r="H3" s="3" t="s">
        <v>42</v>
      </c>
      <c r="I3" s="3" t="s">
        <v>43</v>
      </c>
      <c r="J3" s="2" t="s">
        <v>44</v>
      </c>
      <c r="K3" s="2" t="n">
        <v>9</v>
      </c>
      <c r="L3" s="3" t="s">
        <v>45</v>
      </c>
      <c r="M3" s="2" t="s">
        <v>35</v>
      </c>
      <c r="N3" s="3" t="s">
        <v>46</v>
      </c>
      <c r="O3" s="2" t="n">
        <f aca="false">COUNTIF(Contacts!$B:$B,B3)</f>
        <v>1</v>
      </c>
      <c r="P3" s="4"/>
      <c r="Q3" s="4"/>
      <c r="R3" s="4"/>
      <c r="S3" s="4"/>
      <c r="T3" s="4"/>
      <c r="U3" s="4"/>
      <c r="V3" s="4"/>
      <c r="W3" s="4"/>
      <c r="X3" s="4"/>
      <c r="Y3" s="5"/>
    </row>
    <row r="4" customFormat="false" ht="46.25" hidden="false" customHeight="false" outlineLevel="0" collapsed="false">
      <c r="A4" s="2" t="n">
        <v>3</v>
      </c>
      <c r="B4" s="2" t="s">
        <v>47</v>
      </c>
      <c r="C4" s="2" t="s">
        <v>48</v>
      </c>
      <c r="D4" s="2" t="s">
        <v>27</v>
      </c>
      <c r="E4" s="2" t="s">
        <v>49</v>
      </c>
      <c r="F4" s="3" t="s">
        <v>50</v>
      </c>
      <c r="G4" s="2" t="s">
        <v>51</v>
      </c>
      <c r="H4" s="3" t="s">
        <v>52</v>
      </c>
      <c r="I4" s="3" t="s">
        <v>53</v>
      </c>
      <c r="J4" s="2" t="s">
        <v>54</v>
      </c>
      <c r="K4" s="2" t="n">
        <v>9</v>
      </c>
      <c r="L4" s="3" t="s">
        <v>55</v>
      </c>
      <c r="M4" s="2" t="s">
        <v>35</v>
      </c>
      <c r="N4" s="3" t="s">
        <v>56</v>
      </c>
      <c r="O4" s="2" t="n">
        <f aca="false">COUNTIF(Contacts!$B:$B,B4)</f>
        <v>1</v>
      </c>
      <c r="P4" s="4"/>
      <c r="Q4" s="4"/>
      <c r="R4" s="4"/>
      <c r="S4" s="4"/>
      <c r="T4" s="4"/>
      <c r="U4" s="4"/>
      <c r="V4" s="4"/>
      <c r="W4" s="4"/>
      <c r="X4" s="4"/>
      <c r="Y4" s="5"/>
    </row>
    <row r="5" customFormat="false" ht="46.25" hidden="false" customHeight="false" outlineLevel="0" collapsed="false">
      <c r="A5" s="2" t="n">
        <v>4</v>
      </c>
      <c r="B5" s="2" t="s">
        <v>57</v>
      </c>
      <c r="C5" s="2" t="s">
        <v>58</v>
      </c>
      <c r="D5" s="2" t="s">
        <v>27</v>
      </c>
      <c r="E5" s="2" t="s">
        <v>59</v>
      </c>
      <c r="F5" s="3" t="s">
        <v>60</v>
      </c>
      <c r="G5" s="2" t="s">
        <v>61</v>
      </c>
      <c r="H5" s="3" t="s">
        <v>62</v>
      </c>
      <c r="I5" s="3" t="s">
        <v>63</v>
      </c>
      <c r="J5" s="2" t="s">
        <v>64</v>
      </c>
      <c r="K5" s="2" t="n">
        <v>8</v>
      </c>
      <c r="L5" s="3" t="s">
        <v>65</v>
      </c>
      <c r="M5" s="2" t="s">
        <v>35</v>
      </c>
      <c r="N5" s="3" t="s">
        <v>66</v>
      </c>
      <c r="O5" s="2" t="n">
        <f aca="false">COUNTIF(Contacts!$B:$B,B5)</f>
        <v>1</v>
      </c>
      <c r="P5" s="4"/>
      <c r="Q5" s="4"/>
      <c r="R5" s="4"/>
      <c r="S5" s="4"/>
      <c r="T5" s="4"/>
      <c r="U5" s="4"/>
      <c r="V5" s="4"/>
      <c r="W5" s="4"/>
      <c r="X5" s="4"/>
      <c r="Y5" s="5"/>
    </row>
    <row r="6" customFormat="false" ht="57.45" hidden="false" customHeight="false" outlineLevel="0" collapsed="false">
      <c r="A6" s="2" t="n">
        <v>5</v>
      </c>
      <c r="B6" s="2" t="s">
        <v>67</v>
      </c>
      <c r="C6" s="2" t="s">
        <v>68</v>
      </c>
      <c r="D6" s="2" t="s">
        <v>27</v>
      </c>
      <c r="E6" s="2" t="s">
        <v>69</v>
      </c>
      <c r="F6" s="3" t="s">
        <v>70</v>
      </c>
      <c r="G6" s="2" t="s">
        <v>71</v>
      </c>
      <c r="H6" s="3" t="s">
        <v>72</v>
      </c>
      <c r="I6" s="3" t="s">
        <v>73</v>
      </c>
      <c r="J6" s="2" t="s">
        <v>74</v>
      </c>
      <c r="K6" s="2" t="n">
        <v>8</v>
      </c>
      <c r="L6" s="3" t="s">
        <v>75</v>
      </c>
      <c r="M6" s="2" t="s">
        <v>35</v>
      </c>
      <c r="N6" s="3" t="s">
        <v>76</v>
      </c>
      <c r="O6" s="2" t="n">
        <f aca="false">COUNTIF(Contacts!$B:$B,B6)</f>
        <v>1</v>
      </c>
      <c r="P6" s="4"/>
      <c r="Q6" s="4"/>
      <c r="R6" s="4"/>
      <c r="S6" s="4"/>
      <c r="T6" s="4"/>
      <c r="U6" s="4"/>
      <c r="V6" s="4"/>
      <c r="W6" s="4"/>
      <c r="X6" s="4"/>
      <c r="Y6" s="5"/>
    </row>
    <row r="7" customFormat="false" ht="135.8" hidden="false" customHeight="false" outlineLevel="0" collapsed="false">
      <c r="A7" s="2" t="n">
        <v>6</v>
      </c>
      <c r="B7" s="2" t="s">
        <v>77</v>
      </c>
      <c r="C7" s="2" t="s">
        <v>78</v>
      </c>
      <c r="D7" s="2" t="s">
        <v>27</v>
      </c>
      <c r="E7" s="2" t="s">
        <v>79</v>
      </c>
      <c r="F7" s="3" t="s">
        <v>80</v>
      </c>
      <c r="G7" s="2" t="s">
        <v>81</v>
      </c>
      <c r="H7" s="3" t="s">
        <v>82</v>
      </c>
      <c r="I7" s="3" t="s">
        <v>83</v>
      </c>
      <c r="J7" s="2" t="s">
        <v>74</v>
      </c>
      <c r="K7" s="2" t="n">
        <v>8</v>
      </c>
      <c r="L7" s="3" t="s">
        <v>84</v>
      </c>
      <c r="M7" s="2" t="s">
        <v>35</v>
      </c>
      <c r="N7" s="3" t="s">
        <v>85</v>
      </c>
      <c r="O7" s="2" t="n">
        <f aca="false">COUNTIF(Contacts!$B:$B,B7)</f>
        <v>1</v>
      </c>
      <c r="P7" s="4"/>
      <c r="Q7" s="4"/>
      <c r="R7" s="4"/>
      <c r="S7" s="4"/>
      <c r="T7" s="4"/>
      <c r="U7" s="4"/>
      <c r="V7" s="4"/>
      <c r="W7" s="4"/>
      <c r="X7" s="4"/>
      <c r="Y7" s="5"/>
    </row>
    <row r="8" customFormat="false" ht="46.25" hidden="false" customHeight="false" outlineLevel="0" collapsed="false">
      <c r="A8" s="2" t="n">
        <v>7</v>
      </c>
      <c r="B8" s="2" t="s">
        <v>86</v>
      </c>
      <c r="C8" s="2" t="s">
        <v>87</v>
      </c>
      <c r="D8" s="2" t="s">
        <v>27</v>
      </c>
      <c r="E8" s="2" t="s">
        <v>88</v>
      </c>
      <c r="F8" s="3" t="s">
        <v>89</v>
      </c>
      <c r="G8" s="2" t="s">
        <v>90</v>
      </c>
      <c r="H8" s="3" t="s">
        <v>91</v>
      </c>
      <c r="I8" s="3" t="s">
        <v>92</v>
      </c>
      <c r="J8" s="2" t="s">
        <v>33</v>
      </c>
      <c r="K8" s="2" t="n">
        <v>8</v>
      </c>
      <c r="L8" s="3" t="s">
        <v>93</v>
      </c>
      <c r="M8" s="2" t="s">
        <v>35</v>
      </c>
      <c r="N8" s="3" t="s">
        <v>94</v>
      </c>
      <c r="O8" s="2" t="n">
        <f aca="false">COUNTIF(Contacts!$B:$B,B8)</f>
        <v>1</v>
      </c>
      <c r="P8" s="4"/>
      <c r="Q8" s="4"/>
      <c r="R8" s="4"/>
      <c r="S8" s="4"/>
      <c r="T8" s="4"/>
      <c r="U8" s="4"/>
      <c r="V8" s="4"/>
      <c r="W8" s="4"/>
      <c r="X8" s="4"/>
      <c r="Y8" s="5"/>
    </row>
    <row r="9" customFormat="false" ht="46.25" hidden="false" customHeight="false" outlineLevel="0" collapsed="false">
      <c r="A9" s="2" t="n">
        <v>8</v>
      </c>
      <c r="B9" s="2" t="s">
        <v>95</v>
      </c>
      <c r="C9" s="2" t="s">
        <v>96</v>
      </c>
      <c r="D9" s="2" t="s">
        <v>27</v>
      </c>
      <c r="E9" s="2" t="s">
        <v>97</v>
      </c>
      <c r="F9" s="3" t="s">
        <v>98</v>
      </c>
      <c r="G9" s="2" t="s">
        <v>99</v>
      </c>
      <c r="H9" s="3" t="s">
        <v>100</v>
      </c>
      <c r="I9" s="3" t="s">
        <v>101</v>
      </c>
      <c r="J9" s="2" t="s">
        <v>64</v>
      </c>
      <c r="K9" s="2" t="n">
        <v>8</v>
      </c>
      <c r="L9" s="3" t="s">
        <v>102</v>
      </c>
      <c r="M9" s="2" t="s">
        <v>35</v>
      </c>
      <c r="N9" s="3" t="s">
        <v>103</v>
      </c>
      <c r="O9" s="2" t="n">
        <f aca="false">COUNTIF(Contacts!$B:$B,B9)</f>
        <v>2</v>
      </c>
      <c r="P9" s="4"/>
      <c r="Q9" s="4"/>
      <c r="R9" s="4"/>
      <c r="S9" s="4"/>
      <c r="T9" s="4"/>
      <c r="U9" s="4"/>
      <c r="V9" s="4"/>
      <c r="W9" s="4"/>
      <c r="X9" s="4"/>
      <c r="Y9" s="5"/>
    </row>
    <row r="10" customFormat="false" ht="68.65" hidden="false" customHeight="false" outlineLevel="0" collapsed="false">
      <c r="A10" s="2" t="n">
        <v>9</v>
      </c>
      <c r="B10" s="2" t="s">
        <v>104</v>
      </c>
      <c r="C10" s="2" t="s">
        <v>105</v>
      </c>
      <c r="D10" s="2" t="s">
        <v>106</v>
      </c>
      <c r="E10" s="2" t="s">
        <v>107</v>
      </c>
      <c r="F10" s="3" t="s">
        <v>108</v>
      </c>
      <c r="G10" s="2" t="s">
        <v>109</v>
      </c>
      <c r="H10" s="3" t="s">
        <v>110</v>
      </c>
      <c r="I10" s="3" t="s">
        <v>111</v>
      </c>
      <c r="J10" s="2" t="s">
        <v>112</v>
      </c>
      <c r="K10" s="2" t="n">
        <v>7</v>
      </c>
      <c r="L10" s="3" t="s">
        <v>113</v>
      </c>
      <c r="M10" s="2" t="s">
        <v>35</v>
      </c>
      <c r="N10" s="3" t="s">
        <v>114</v>
      </c>
      <c r="O10" s="2" t="n">
        <f aca="false">COUNTIF(Contacts!$B:$B,B10)</f>
        <v>1</v>
      </c>
      <c r="P10" s="4"/>
      <c r="Q10" s="4"/>
      <c r="R10" s="4"/>
      <c r="S10" s="4"/>
      <c r="T10" s="4"/>
      <c r="U10" s="4"/>
      <c r="V10" s="4"/>
      <c r="W10" s="4"/>
      <c r="X10" s="4"/>
      <c r="Y10" s="5"/>
    </row>
    <row r="11" customFormat="false" ht="79.85" hidden="false" customHeight="false" outlineLevel="0" collapsed="false">
      <c r="A11" s="2" t="n">
        <v>10</v>
      </c>
      <c r="B11" s="2" t="s">
        <v>115</v>
      </c>
      <c r="C11" s="2" t="s">
        <v>116</v>
      </c>
      <c r="D11" s="2" t="s">
        <v>27</v>
      </c>
      <c r="E11" s="2" t="s">
        <v>117</v>
      </c>
      <c r="F11" s="3" t="s">
        <v>118</v>
      </c>
      <c r="G11" s="2" t="s">
        <v>119</v>
      </c>
      <c r="H11" s="3" t="s">
        <v>120</v>
      </c>
      <c r="I11" s="3" t="s">
        <v>121</v>
      </c>
      <c r="J11" s="2" t="s">
        <v>122</v>
      </c>
      <c r="K11" s="2" t="n">
        <v>7</v>
      </c>
      <c r="L11" s="3" t="s">
        <v>123</v>
      </c>
      <c r="M11" s="2" t="s">
        <v>35</v>
      </c>
      <c r="N11" s="3" t="s">
        <v>124</v>
      </c>
      <c r="O11" s="2" t="n">
        <f aca="false">COUNTIF(Contacts!$B:$B,B11)</f>
        <v>1</v>
      </c>
      <c r="P11" s="4"/>
      <c r="Q11" s="4"/>
      <c r="R11" s="4"/>
      <c r="S11" s="4"/>
      <c r="T11" s="4"/>
      <c r="U11" s="4"/>
      <c r="V11" s="4"/>
      <c r="W11" s="4"/>
      <c r="X11" s="4"/>
      <c r="Y11" s="5"/>
    </row>
    <row r="12" customFormat="false" ht="46.25" hidden="false" customHeight="false" outlineLevel="0" collapsed="false">
      <c r="A12" s="2" t="n">
        <v>11</v>
      </c>
      <c r="B12" s="2" t="s">
        <v>125</v>
      </c>
      <c r="C12" s="2" t="s">
        <v>126</v>
      </c>
      <c r="D12" s="2" t="s">
        <v>27</v>
      </c>
      <c r="E12" s="2" t="s">
        <v>127</v>
      </c>
      <c r="F12" s="3" t="s">
        <v>128</v>
      </c>
      <c r="G12" s="2" t="s">
        <v>129</v>
      </c>
      <c r="H12" s="3" t="s">
        <v>130</v>
      </c>
      <c r="I12" s="3" t="s">
        <v>131</v>
      </c>
      <c r="J12" s="2" t="s">
        <v>122</v>
      </c>
      <c r="K12" s="2" t="n">
        <v>7</v>
      </c>
      <c r="L12" s="3" t="s">
        <v>132</v>
      </c>
      <c r="M12" s="2" t="s">
        <v>35</v>
      </c>
      <c r="N12" s="3" t="s">
        <v>133</v>
      </c>
      <c r="O12" s="2" t="n">
        <f aca="false">COUNTIF(Contacts!$B:$B,B12)</f>
        <v>1</v>
      </c>
      <c r="P12" s="4"/>
      <c r="Q12" s="4"/>
      <c r="R12" s="4"/>
      <c r="S12" s="4"/>
      <c r="T12" s="4"/>
      <c r="U12" s="4"/>
      <c r="V12" s="4"/>
      <c r="W12" s="4"/>
      <c r="X12" s="4"/>
      <c r="Y12" s="5"/>
    </row>
    <row r="13" customFormat="false" ht="46.25" hidden="false" customHeight="false" outlineLevel="0" collapsed="false">
      <c r="A13" s="2" t="n">
        <v>12</v>
      </c>
      <c r="B13" s="2" t="s">
        <v>134</v>
      </c>
      <c r="C13" s="2" t="s">
        <v>135</v>
      </c>
      <c r="D13" s="2" t="s">
        <v>27</v>
      </c>
      <c r="E13" s="2" t="s">
        <v>136</v>
      </c>
      <c r="F13" s="3" t="s">
        <v>137</v>
      </c>
      <c r="G13" s="2" t="s">
        <v>138</v>
      </c>
      <c r="H13" s="3" t="s">
        <v>139</v>
      </c>
      <c r="I13" s="3" t="s">
        <v>140</v>
      </c>
      <c r="J13" s="2" t="s">
        <v>112</v>
      </c>
      <c r="K13" s="2" t="n">
        <v>7</v>
      </c>
      <c r="L13" s="3" t="s">
        <v>141</v>
      </c>
      <c r="M13" s="2" t="s">
        <v>35</v>
      </c>
      <c r="N13" s="3" t="s">
        <v>142</v>
      </c>
      <c r="O13" s="2" t="n">
        <f aca="false">COUNTIF(Contacts!$B:$B,B13)</f>
        <v>2</v>
      </c>
      <c r="P13" s="4"/>
      <c r="Q13" s="4"/>
      <c r="R13" s="4"/>
      <c r="S13" s="4"/>
      <c r="T13" s="4"/>
      <c r="U13" s="4"/>
      <c r="V13" s="4"/>
      <c r="W13" s="4"/>
      <c r="X13" s="4"/>
      <c r="Y13" s="5"/>
    </row>
    <row r="14" customFormat="false" ht="35.05" hidden="false" customHeight="false" outlineLevel="0" collapsed="false">
      <c r="A14" s="2" t="n">
        <v>13</v>
      </c>
      <c r="B14" s="2" t="s">
        <v>143</v>
      </c>
      <c r="C14" s="2" t="s">
        <v>144</v>
      </c>
      <c r="D14" s="2" t="s">
        <v>27</v>
      </c>
      <c r="E14" s="2" t="s">
        <v>145</v>
      </c>
      <c r="F14" s="3" t="s">
        <v>146</v>
      </c>
      <c r="G14" s="2" t="s">
        <v>147</v>
      </c>
      <c r="H14" s="3" t="s">
        <v>148</v>
      </c>
      <c r="I14" s="3" t="s">
        <v>149</v>
      </c>
      <c r="J14" s="2" t="s">
        <v>150</v>
      </c>
      <c r="K14" s="2" t="n">
        <v>7</v>
      </c>
      <c r="L14" s="3" t="s">
        <v>151</v>
      </c>
      <c r="M14" s="2" t="s">
        <v>35</v>
      </c>
      <c r="N14" s="3" t="s">
        <v>152</v>
      </c>
      <c r="O14" s="2" t="n">
        <f aca="false">COUNTIF(Contacts!$B:$B,B14)</f>
        <v>1</v>
      </c>
      <c r="P14" s="4"/>
      <c r="Q14" s="4"/>
      <c r="R14" s="4"/>
      <c r="S14" s="4"/>
      <c r="T14" s="4"/>
      <c r="U14" s="4"/>
      <c r="V14" s="4"/>
      <c r="W14" s="4"/>
      <c r="X14" s="4"/>
      <c r="Y14" s="5"/>
    </row>
    <row r="15" customFormat="false" ht="57.45" hidden="false" customHeight="false" outlineLevel="0" collapsed="false">
      <c r="A15" s="2" t="n">
        <v>14</v>
      </c>
      <c r="B15" s="2" t="s">
        <v>153</v>
      </c>
      <c r="C15" s="2" t="s">
        <v>154</v>
      </c>
      <c r="D15" s="2" t="s">
        <v>155</v>
      </c>
      <c r="E15" s="2" t="s">
        <v>156</v>
      </c>
      <c r="F15" s="3" t="s">
        <v>157</v>
      </c>
      <c r="G15" s="2" t="s">
        <v>158</v>
      </c>
      <c r="H15" s="3" t="s">
        <v>159</v>
      </c>
      <c r="I15" s="3" t="s">
        <v>160</v>
      </c>
      <c r="J15" s="2" t="s">
        <v>122</v>
      </c>
      <c r="K15" s="2" t="n">
        <v>7</v>
      </c>
      <c r="L15" s="3" t="s">
        <v>161</v>
      </c>
      <c r="M15" s="2" t="s">
        <v>35</v>
      </c>
      <c r="N15" s="3" t="s">
        <v>162</v>
      </c>
      <c r="O15" s="2" t="n">
        <f aca="false">COUNTIF(Contacts!$B:$B,B15)</f>
        <v>1</v>
      </c>
      <c r="P15" s="4"/>
      <c r="Q15" s="4"/>
      <c r="R15" s="4"/>
      <c r="S15" s="4"/>
      <c r="T15" s="4"/>
      <c r="U15" s="4"/>
      <c r="V15" s="4"/>
      <c r="W15" s="4"/>
      <c r="X15" s="4"/>
      <c r="Y15" s="5"/>
    </row>
    <row r="16" customFormat="false" ht="57.45" hidden="false" customHeight="false" outlineLevel="0" collapsed="false">
      <c r="A16" s="2" t="n">
        <v>15</v>
      </c>
      <c r="B16" s="2" t="s">
        <v>163</v>
      </c>
      <c r="C16" s="2" t="s">
        <v>164</v>
      </c>
      <c r="D16" s="2" t="s">
        <v>165</v>
      </c>
      <c r="E16" s="2" t="s">
        <v>166</v>
      </c>
      <c r="F16" s="3" t="s">
        <v>167</v>
      </c>
      <c r="G16" s="2" t="s">
        <v>168</v>
      </c>
      <c r="H16" s="3" t="s">
        <v>169</v>
      </c>
      <c r="I16" s="3" t="s">
        <v>170</v>
      </c>
      <c r="J16" s="2" t="s">
        <v>122</v>
      </c>
      <c r="K16" s="2" t="n">
        <v>7</v>
      </c>
      <c r="L16" s="3" t="s">
        <v>171</v>
      </c>
      <c r="M16" s="2" t="s">
        <v>35</v>
      </c>
      <c r="N16" s="3" t="s">
        <v>172</v>
      </c>
      <c r="O16" s="2" t="n">
        <f aca="false">COUNTIF(Contacts!$B:$B,B16)</f>
        <v>1</v>
      </c>
      <c r="P16" s="4"/>
      <c r="Q16" s="4"/>
      <c r="R16" s="4"/>
      <c r="S16" s="4"/>
      <c r="T16" s="4"/>
      <c r="U16" s="4"/>
      <c r="V16" s="4"/>
      <c r="W16" s="4"/>
      <c r="X16" s="4"/>
      <c r="Y16" s="5"/>
    </row>
    <row r="17" customFormat="false" ht="46.25" hidden="false" customHeight="false" outlineLevel="0" collapsed="false">
      <c r="A17" s="2" t="n">
        <v>16</v>
      </c>
      <c r="B17" s="2" t="s">
        <v>173</v>
      </c>
      <c r="C17" s="2" t="s">
        <v>174</v>
      </c>
      <c r="D17" s="2" t="s">
        <v>175</v>
      </c>
      <c r="E17" s="2" t="s">
        <v>156</v>
      </c>
      <c r="F17" s="3" t="s">
        <v>176</v>
      </c>
      <c r="G17" s="2" t="s">
        <v>177</v>
      </c>
      <c r="H17" s="3" t="s">
        <v>178</v>
      </c>
      <c r="I17" s="3" t="s">
        <v>170</v>
      </c>
      <c r="J17" s="2" t="s">
        <v>122</v>
      </c>
      <c r="K17" s="2" t="n">
        <v>7</v>
      </c>
      <c r="L17" s="3" t="s">
        <v>179</v>
      </c>
      <c r="M17" s="2" t="s">
        <v>35</v>
      </c>
      <c r="N17" s="3" t="s">
        <v>180</v>
      </c>
      <c r="O17" s="2" t="n">
        <f aca="false">COUNTIF(Contacts!$B:$B,B17)</f>
        <v>1</v>
      </c>
      <c r="P17" s="4"/>
      <c r="Q17" s="4"/>
      <c r="R17" s="4"/>
      <c r="S17" s="4"/>
      <c r="T17" s="4"/>
      <c r="U17" s="4"/>
      <c r="V17" s="4"/>
      <c r="W17" s="4"/>
      <c r="X17" s="4"/>
      <c r="Y17" s="5"/>
    </row>
    <row r="18" customFormat="false" ht="46.25" hidden="false" customHeight="false" outlineLevel="0" collapsed="false">
      <c r="A18" s="2" t="n">
        <v>17</v>
      </c>
      <c r="B18" s="2" t="s">
        <v>181</v>
      </c>
      <c r="C18" s="2" t="s">
        <v>182</v>
      </c>
      <c r="D18" s="2" t="s">
        <v>183</v>
      </c>
      <c r="E18" s="2" t="s">
        <v>156</v>
      </c>
      <c r="F18" s="3" t="s">
        <v>184</v>
      </c>
      <c r="G18" s="2" t="s">
        <v>185</v>
      </c>
      <c r="H18" s="3" t="s">
        <v>186</v>
      </c>
      <c r="I18" s="3" t="s">
        <v>170</v>
      </c>
      <c r="J18" s="2" t="s">
        <v>122</v>
      </c>
      <c r="K18" s="2" t="n">
        <v>7</v>
      </c>
      <c r="L18" s="3" t="s">
        <v>187</v>
      </c>
      <c r="M18" s="2" t="s">
        <v>35</v>
      </c>
      <c r="N18" s="3" t="s">
        <v>188</v>
      </c>
      <c r="O18" s="2" t="n">
        <f aca="false">COUNTIF(Contacts!$B:$B,B18)</f>
        <v>1</v>
      </c>
      <c r="P18" s="4"/>
      <c r="Q18" s="4"/>
      <c r="R18" s="4"/>
      <c r="S18" s="4"/>
      <c r="T18" s="4"/>
      <c r="U18" s="4"/>
      <c r="V18" s="4"/>
      <c r="W18" s="4"/>
      <c r="X18" s="4"/>
      <c r="Y18" s="5"/>
    </row>
    <row r="19" customFormat="false" ht="79.85" hidden="false" customHeight="false" outlineLevel="0" collapsed="false">
      <c r="A19" s="2" t="n">
        <v>18</v>
      </c>
      <c r="B19" s="2" t="s">
        <v>189</v>
      </c>
      <c r="C19" s="2" t="s">
        <v>190</v>
      </c>
      <c r="D19" s="2" t="s">
        <v>27</v>
      </c>
      <c r="E19" s="2" t="s">
        <v>191</v>
      </c>
      <c r="F19" s="3" t="s">
        <v>192</v>
      </c>
      <c r="G19" s="2" t="s">
        <v>193</v>
      </c>
      <c r="H19" s="3" t="s">
        <v>194</v>
      </c>
      <c r="I19" s="3" t="s">
        <v>195</v>
      </c>
      <c r="J19" s="2" t="s">
        <v>196</v>
      </c>
      <c r="K19" s="2" t="n">
        <v>7</v>
      </c>
      <c r="L19" s="3" t="s">
        <v>197</v>
      </c>
      <c r="M19" s="2" t="s">
        <v>35</v>
      </c>
      <c r="N19" s="3" t="s">
        <v>198</v>
      </c>
      <c r="O19" s="2" t="n">
        <f aca="false">COUNTIF(Contacts!$B:$B,B19)</f>
        <v>1</v>
      </c>
      <c r="P19" s="4"/>
      <c r="Q19" s="4"/>
      <c r="R19" s="4"/>
      <c r="S19" s="4"/>
      <c r="T19" s="4"/>
      <c r="U19" s="4"/>
      <c r="V19" s="4"/>
      <c r="W19" s="4"/>
      <c r="X19" s="4"/>
      <c r="Y19" s="5"/>
    </row>
    <row r="20" customFormat="false" ht="57.45" hidden="false" customHeight="false" outlineLevel="0" collapsed="false">
      <c r="A20" s="2" t="n">
        <v>19</v>
      </c>
      <c r="B20" s="2" t="s">
        <v>199</v>
      </c>
      <c r="C20" s="2" t="s">
        <v>200</v>
      </c>
      <c r="D20" s="2" t="s">
        <v>201</v>
      </c>
      <c r="E20" s="2" t="s">
        <v>202</v>
      </c>
      <c r="F20" s="3" t="s">
        <v>203</v>
      </c>
      <c r="G20" s="2" t="s">
        <v>204</v>
      </c>
      <c r="H20" s="3" t="s">
        <v>205</v>
      </c>
      <c r="I20" s="3" t="s">
        <v>206</v>
      </c>
      <c r="J20" s="2" t="s">
        <v>122</v>
      </c>
      <c r="K20" s="2" t="n">
        <v>7</v>
      </c>
      <c r="L20" s="3" t="s">
        <v>207</v>
      </c>
      <c r="M20" s="2" t="s">
        <v>35</v>
      </c>
      <c r="N20" s="3" t="s">
        <v>208</v>
      </c>
      <c r="O20" s="2" t="n">
        <f aca="false">COUNTIF(Contacts!$B:$B,B20)</f>
        <v>1</v>
      </c>
      <c r="P20" s="4"/>
      <c r="Q20" s="4"/>
      <c r="R20" s="4"/>
      <c r="S20" s="4"/>
      <c r="T20" s="4"/>
      <c r="U20" s="4"/>
      <c r="V20" s="4"/>
      <c r="W20" s="4"/>
      <c r="X20" s="4"/>
      <c r="Y20" s="5"/>
    </row>
    <row r="21" customFormat="false" ht="46.25" hidden="false" customHeight="false" outlineLevel="0" collapsed="false">
      <c r="A21" s="2" t="n">
        <v>20</v>
      </c>
      <c r="B21" s="2" t="s">
        <v>209</v>
      </c>
      <c r="C21" s="2" t="s">
        <v>210</v>
      </c>
      <c r="D21" s="2" t="s">
        <v>211</v>
      </c>
      <c r="E21" s="2" t="s">
        <v>212</v>
      </c>
      <c r="F21" s="3" t="s">
        <v>213</v>
      </c>
      <c r="G21" s="2" t="s">
        <v>214</v>
      </c>
      <c r="H21" s="3" t="s">
        <v>215</v>
      </c>
      <c r="I21" s="3" t="s">
        <v>216</v>
      </c>
      <c r="J21" s="2" t="s">
        <v>217</v>
      </c>
      <c r="K21" s="2" t="n">
        <v>7</v>
      </c>
      <c r="L21" s="3" t="s">
        <v>218</v>
      </c>
      <c r="M21" s="2" t="s">
        <v>35</v>
      </c>
      <c r="N21" s="3"/>
      <c r="O21" s="2" t="n">
        <f aca="false">COUNTIF(Contacts!$B:$B,B21)</f>
        <v>0</v>
      </c>
      <c r="P21" s="4"/>
      <c r="Q21" s="4"/>
      <c r="R21" s="4"/>
      <c r="S21" s="4"/>
      <c r="T21" s="4"/>
      <c r="U21" s="4"/>
      <c r="V21" s="4"/>
      <c r="W21" s="4"/>
      <c r="X21" s="4"/>
      <c r="Y21" s="5"/>
    </row>
    <row r="22" customFormat="false" ht="57.45" hidden="false" customHeight="false" outlineLevel="0" collapsed="false">
      <c r="A22" s="2" t="n">
        <v>21</v>
      </c>
      <c r="B22" s="2" t="s">
        <v>219</v>
      </c>
      <c r="C22" s="2" t="s">
        <v>220</v>
      </c>
      <c r="D22" s="2" t="s">
        <v>221</v>
      </c>
      <c r="E22" s="2" t="s">
        <v>222</v>
      </c>
      <c r="F22" s="3" t="s">
        <v>223</v>
      </c>
      <c r="G22" s="2" t="s">
        <v>224</v>
      </c>
      <c r="H22" s="3" t="s">
        <v>225</v>
      </c>
      <c r="I22" s="3" t="s">
        <v>226</v>
      </c>
      <c r="J22" s="2" t="s">
        <v>217</v>
      </c>
      <c r="K22" s="2" t="n">
        <v>7</v>
      </c>
      <c r="L22" s="3" t="s">
        <v>227</v>
      </c>
      <c r="M22" s="2" t="s">
        <v>35</v>
      </c>
      <c r="N22" s="3" t="s">
        <v>228</v>
      </c>
      <c r="O22" s="2" t="n">
        <f aca="false">COUNTIF(Contacts!$B:$B,B22)</f>
        <v>2</v>
      </c>
      <c r="P22" s="4"/>
      <c r="Q22" s="4"/>
      <c r="R22" s="4"/>
      <c r="S22" s="4"/>
      <c r="T22" s="4"/>
      <c r="U22" s="4"/>
      <c r="V22" s="4"/>
      <c r="W22" s="4"/>
      <c r="X22" s="4"/>
      <c r="Y22" s="5"/>
    </row>
    <row r="23" customFormat="false" ht="46.25" hidden="false" customHeight="false" outlineLevel="0" collapsed="false">
      <c r="A23" s="2" t="n">
        <v>22</v>
      </c>
      <c r="B23" s="2" t="s">
        <v>229</v>
      </c>
      <c r="C23" s="2" t="s">
        <v>230</v>
      </c>
      <c r="D23" s="2" t="s">
        <v>27</v>
      </c>
      <c r="E23" s="2" t="s">
        <v>231</v>
      </c>
      <c r="F23" s="3" t="s">
        <v>232</v>
      </c>
      <c r="G23" s="2" t="s">
        <v>233</v>
      </c>
      <c r="H23" s="3" t="s">
        <v>234</v>
      </c>
      <c r="I23" s="3" t="s">
        <v>235</v>
      </c>
      <c r="J23" s="2" t="s">
        <v>217</v>
      </c>
      <c r="K23" s="2" t="n">
        <v>7</v>
      </c>
      <c r="L23" s="3" t="s">
        <v>236</v>
      </c>
      <c r="M23" s="2" t="s">
        <v>35</v>
      </c>
      <c r="N23" s="3" t="s">
        <v>237</v>
      </c>
      <c r="O23" s="2" t="n">
        <f aca="false">COUNTIF(Contacts!$B:$B,B23)</f>
        <v>1</v>
      </c>
      <c r="P23" s="4"/>
      <c r="Q23" s="4"/>
      <c r="R23" s="4"/>
      <c r="S23" s="4"/>
      <c r="T23" s="4"/>
      <c r="U23" s="4"/>
      <c r="V23" s="4"/>
      <c r="W23" s="4"/>
      <c r="X23" s="4"/>
      <c r="Y23" s="5"/>
    </row>
    <row r="24" customFormat="false" ht="46.25" hidden="false" customHeight="false" outlineLevel="0" collapsed="false">
      <c r="A24" s="2" t="n">
        <v>23</v>
      </c>
      <c r="B24" s="2" t="s">
        <v>238</v>
      </c>
      <c r="C24" s="2" t="s">
        <v>239</v>
      </c>
      <c r="D24" s="2" t="s">
        <v>27</v>
      </c>
      <c r="E24" s="2" t="s">
        <v>240</v>
      </c>
      <c r="F24" s="3" t="s">
        <v>241</v>
      </c>
      <c r="G24" s="2" t="s">
        <v>242</v>
      </c>
      <c r="H24" s="3" t="s">
        <v>243</v>
      </c>
      <c r="I24" s="3" t="s">
        <v>244</v>
      </c>
      <c r="J24" s="2" t="s">
        <v>217</v>
      </c>
      <c r="K24" s="2" t="n">
        <v>7</v>
      </c>
      <c r="L24" s="3" t="s">
        <v>245</v>
      </c>
      <c r="M24" s="2" t="s">
        <v>35</v>
      </c>
      <c r="N24" s="3"/>
      <c r="O24" s="2" t="n">
        <f aca="false">COUNTIF(Contacts!$B:$B,B24)</f>
        <v>0</v>
      </c>
      <c r="P24" s="4"/>
      <c r="Q24" s="4"/>
      <c r="R24" s="4"/>
      <c r="S24" s="4"/>
      <c r="T24" s="4"/>
      <c r="U24" s="4"/>
      <c r="V24" s="4"/>
      <c r="W24" s="4"/>
      <c r="X24" s="4"/>
      <c r="Y24" s="5"/>
    </row>
    <row r="25" customFormat="false" ht="35.05" hidden="false" customHeight="false" outlineLevel="0" collapsed="false">
      <c r="A25" s="2" t="n">
        <v>24</v>
      </c>
      <c r="B25" s="2" t="s">
        <v>246</v>
      </c>
      <c r="C25" s="2" t="s">
        <v>247</v>
      </c>
      <c r="D25" s="2" t="s">
        <v>27</v>
      </c>
      <c r="E25" s="2" t="s">
        <v>248</v>
      </c>
      <c r="F25" s="3" t="s">
        <v>249</v>
      </c>
      <c r="G25" s="2" t="s">
        <v>250</v>
      </c>
      <c r="H25" s="3" t="s">
        <v>251</v>
      </c>
      <c r="I25" s="3" t="s">
        <v>252</v>
      </c>
      <c r="J25" s="2" t="s">
        <v>253</v>
      </c>
      <c r="K25" s="2" t="n">
        <v>7</v>
      </c>
      <c r="L25" s="3" t="s">
        <v>254</v>
      </c>
      <c r="M25" s="2" t="s">
        <v>35</v>
      </c>
      <c r="N25" s="3"/>
      <c r="O25" s="2" t="n">
        <f aca="false">COUNTIF(Contacts!$B:$B,B25)</f>
        <v>0</v>
      </c>
      <c r="P25" s="4"/>
      <c r="Q25" s="4"/>
      <c r="R25" s="4"/>
      <c r="S25" s="4"/>
      <c r="T25" s="4"/>
      <c r="U25" s="4"/>
      <c r="V25" s="4"/>
      <c r="W25" s="4"/>
      <c r="X25" s="4"/>
      <c r="Y25" s="5"/>
    </row>
    <row r="26" customFormat="false" ht="57.45" hidden="false" customHeight="false" outlineLevel="0" collapsed="false">
      <c r="A26" s="2" t="n">
        <v>25</v>
      </c>
      <c r="B26" s="2" t="s">
        <v>255</v>
      </c>
      <c r="C26" s="2" t="s">
        <v>256</v>
      </c>
      <c r="D26" s="2" t="s">
        <v>201</v>
      </c>
      <c r="E26" s="2" t="s">
        <v>257</v>
      </c>
      <c r="F26" s="3" t="s">
        <v>258</v>
      </c>
      <c r="G26" s="2" t="s">
        <v>259</v>
      </c>
      <c r="H26" s="3" t="s">
        <v>260</v>
      </c>
      <c r="I26" s="3" t="s">
        <v>261</v>
      </c>
      <c r="J26" s="2" t="s">
        <v>150</v>
      </c>
      <c r="K26" s="2" t="n">
        <v>7</v>
      </c>
      <c r="L26" s="3" t="s">
        <v>262</v>
      </c>
      <c r="M26" s="2" t="s">
        <v>35</v>
      </c>
      <c r="N26" s="3" t="s">
        <v>263</v>
      </c>
      <c r="O26" s="2" t="n">
        <f aca="false">COUNTIF(Contacts!$B:$B,B26)</f>
        <v>2</v>
      </c>
      <c r="P26" s="4"/>
      <c r="Q26" s="4"/>
      <c r="R26" s="4"/>
      <c r="S26" s="4"/>
      <c r="T26" s="4"/>
      <c r="U26" s="4"/>
      <c r="V26" s="4"/>
      <c r="W26" s="4"/>
      <c r="X26" s="4"/>
      <c r="Y26" s="5"/>
    </row>
    <row r="27" customFormat="false" ht="57.45" hidden="false" customHeight="false" outlineLevel="0" collapsed="false">
      <c r="A27" s="2" t="n">
        <v>26</v>
      </c>
      <c r="B27" s="2" t="s">
        <v>264</v>
      </c>
      <c r="C27" s="2" t="s">
        <v>265</v>
      </c>
      <c r="D27" s="2" t="s">
        <v>27</v>
      </c>
      <c r="E27" s="2" t="s">
        <v>266</v>
      </c>
      <c r="F27" s="3" t="s">
        <v>267</v>
      </c>
      <c r="G27" s="2" t="s">
        <v>268</v>
      </c>
      <c r="H27" s="3" t="s">
        <v>269</v>
      </c>
      <c r="I27" s="3" t="s">
        <v>270</v>
      </c>
      <c r="J27" s="2" t="s">
        <v>271</v>
      </c>
      <c r="K27" s="2" t="n">
        <v>7</v>
      </c>
      <c r="L27" s="3" t="s">
        <v>272</v>
      </c>
      <c r="M27" s="2" t="s">
        <v>35</v>
      </c>
      <c r="N27" s="3" t="s">
        <v>273</v>
      </c>
      <c r="O27" s="2" t="n">
        <f aca="false">COUNTIF(Contacts!$B:$B,B27)</f>
        <v>1</v>
      </c>
      <c r="P27" s="4"/>
      <c r="Q27" s="4"/>
      <c r="R27" s="4"/>
      <c r="S27" s="4"/>
      <c r="T27" s="4"/>
      <c r="U27" s="4"/>
      <c r="V27" s="4"/>
      <c r="W27" s="4"/>
      <c r="X27" s="4"/>
      <c r="Y27" s="5"/>
    </row>
    <row r="28" customFormat="false" ht="57.45" hidden="false" customHeight="false" outlineLevel="0" collapsed="false">
      <c r="A28" s="2" t="n">
        <v>27</v>
      </c>
      <c r="B28" s="2" t="s">
        <v>274</v>
      </c>
      <c r="C28" s="2" t="s">
        <v>275</v>
      </c>
      <c r="D28" s="2" t="s">
        <v>27</v>
      </c>
      <c r="E28" s="2" t="s">
        <v>276</v>
      </c>
      <c r="F28" s="3" t="s">
        <v>277</v>
      </c>
      <c r="G28" s="2" t="s">
        <v>278</v>
      </c>
      <c r="H28" s="3" t="s">
        <v>279</v>
      </c>
      <c r="I28" s="3" t="s">
        <v>280</v>
      </c>
      <c r="J28" s="2" t="s">
        <v>122</v>
      </c>
      <c r="K28" s="2" t="n">
        <v>7</v>
      </c>
      <c r="L28" s="3" t="s">
        <v>281</v>
      </c>
      <c r="M28" s="2" t="s">
        <v>35</v>
      </c>
      <c r="N28" s="3" t="s">
        <v>282</v>
      </c>
      <c r="O28" s="2" t="n">
        <f aca="false">COUNTIF(Contacts!$B:$B,B28)</f>
        <v>1</v>
      </c>
      <c r="P28" s="4"/>
      <c r="Q28" s="4"/>
      <c r="R28" s="4"/>
      <c r="S28" s="4"/>
      <c r="T28" s="4"/>
      <c r="U28" s="4"/>
      <c r="V28" s="4"/>
      <c r="W28" s="4"/>
      <c r="X28" s="4"/>
      <c r="Y28" s="5"/>
    </row>
    <row r="29" customFormat="false" ht="35.05" hidden="false" customHeight="false" outlineLevel="0" collapsed="false">
      <c r="A29" s="2" t="n">
        <v>28</v>
      </c>
      <c r="B29" s="2" t="s">
        <v>283</v>
      </c>
      <c r="C29" s="2" t="s">
        <v>284</v>
      </c>
      <c r="D29" s="2" t="s">
        <v>27</v>
      </c>
      <c r="E29" s="2" t="s">
        <v>285</v>
      </c>
      <c r="F29" s="3" t="s">
        <v>286</v>
      </c>
      <c r="G29" s="2" t="s">
        <v>287</v>
      </c>
      <c r="H29" s="3" t="s">
        <v>288</v>
      </c>
      <c r="I29" s="3" t="s">
        <v>289</v>
      </c>
      <c r="J29" s="2" t="s">
        <v>122</v>
      </c>
      <c r="K29" s="2" t="n">
        <v>7</v>
      </c>
      <c r="L29" s="3" t="s">
        <v>290</v>
      </c>
      <c r="M29" s="2" t="s">
        <v>35</v>
      </c>
      <c r="N29" s="3" t="s">
        <v>291</v>
      </c>
      <c r="O29" s="2" t="n">
        <f aca="false">COUNTIF(Contacts!$B:$B,B29)</f>
        <v>1</v>
      </c>
      <c r="P29" s="4"/>
      <c r="Q29" s="4"/>
      <c r="R29" s="4"/>
      <c r="S29" s="4"/>
      <c r="T29" s="4"/>
      <c r="U29" s="4"/>
      <c r="V29" s="4"/>
      <c r="W29" s="4"/>
      <c r="X29" s="4"/>
      <c r="Y29" s="5"/>
    </row>
    <row r="30" customFormat="false" ht="46.25" hidden="false" customHeight="false" outlineLevel="0" collapsed="false">
      <c r="A30" s="2" t="n">
        <v>29</v>
      </c>
      <c r="B30" s="2" t="s">
        <v>292</v>
      </c>
      <c r="C30" s="2" t="s">
        <v>293</v>
      </c>
      <c r="D30" s="2" t="s">
        <v>27</v>
      </c>
      <c r="E30" s="2" t="s">
        <v>294</v>
      </c>
      <c r="F30" s="3" t="s">
        <v>295</v>
      </c>
      <c r="G30" s="2" t="s">
        <v>296</v>
      </c>
      <c r="H30" s="3" t="s">
        <v>297</v>
      </c>
      <c r="I30" s="3" t="s">
        <v>298</v>
      </c>
      <c r="J30" s="2" t="s">
        <v>122</v>
      </c>
      <c r="K30" s="2" t="n">
        <v>7</v>
      </c>
      <c r="L30" s="3" t="s">
        <v>299</v>
      </c>
      <c r="M30" s="2" t="s">
        <v>35</v>
      </c>
      <c r="N30" s="3" t="s">
        <v>300</v>
      </c>
      <c r="O30" s="2" t="n">
        <f aca="false">COUNTIF(Contacts!$B:$B,B30)</f>
        <v>1</v>
      </c>
      <c r="P30" s="4"/>
      <c r="Q30" s="4"/>
      <c r="R30" s="4"/>
      <c r="S30" s="4"/>
      <c r="T30" s="4"/>
      <c r="U30" s="4"/>
      <c r="V30" s="4"/>
      <c r="W30" s="4"/>
      <c r="X30" s="4"/>
      <c r="Y30" s="5"/>
    </row>
    <row r="31" customFormat="false" ht="46.25" hidden="false" customHeight="false" outlineLevel="0" collapsed="false">
      <c r="A31" s="2" t="n">
        <v>30</v>
      </c>
      <c r="B31" s="2" t="s">
        <v>301</v>
      </c>
      <c r="C31" s="2" t="s">
        <v>302</v>
      </c>
      <c r="D31" s="2" t="s">
        <v>27</v>
      </c>
      <c r="E31" s="2" t="s">
        <v>303</v>
      </c>
      <c r="F31" s="3" t="s">
        <v>304</v>
      </c>
      <c r="G31" s="2" t="s">
        <v>305</v>
      </c>
      <c r="H31" s="3" t="s">
        <v>306</v>
      </c>
      <c r="I31" s="3" t="s">
        <v>307</v>
      </c>
      <c r="J31" s="2" t="s">
        <v>150</v>
      </c>
      <c r="K31" s="2" t="n">
        <v>7</v>
      </c>
      <c r="L31" s="3" t="s">
        <v>308</v>
      </c>
      <c r="M31" s="2" t="s">
        <v>35</v>
      </c>
      <c r="N31" s="3" t="s">
        <v>309</v>
      </c>
      <c r="O31" s="2" t="n">
        <f aca="false">COUNTIF(Contacts!$B:$B,B31)</f>
        <v>1</v>
      </c>
      <c r="P31" s="4"/>
      <c r="Q31" s="4"/>
      <c r="R31" s="4"/>
      <c r="S31" s="4"/>
      <c r="T31" s="4"/>
      <c r="U31" s="4"/>
      <c r="V31" s="4"/>
      <c r="W31" s="4"/>
      <c r="X31" s="4"/>
      <c r="Y31" s="5"/>
    </row>
    <row r="32" customFormat="false" ht="46.25" hidden="false" customHeight="false" outlineLevel="0" collapsed="false">
      <c r="A32" s="2" t="n">
        <v>31</v>
      </c>
      <c r="B32" s="2" t="s">
        <v>310</v>
      </c>
      <c r="C32" s="2" t="s">
        <v>311</v>
      </c>
      <c r="D32" s="2" t="s">
        <v>312</v>
      </c>
      <c r="E32" s="2" t="s">
        <v>313</v>
      </c>
      <c r="F32" s="3" t="s">
        <v>314</v>
      </c>
      <c r="G32" s="2" t="s">
        <v>315</v>
      </c>
      <c r="H32" s="3" t="s">
        <v>316</v>
      </c>
      <c r="I32" s="3" t="s">
        <v>317</v>
      </c>
      <c r="J32" s="2" t="s">
        <v>122</v>
      </c>
      <c r="K32" s="2" t="n">
        <v>7</v>
      </c>
      <c r="L32" s="3" t="s">
        <v>318</v>
      </c>
      <c r="M32" s="2" t="s">
        <v>35</v>
      </c>
      <c r="N32" s="3" t="s">
        <v>319</v>
      </c>
      <c r="O32" s="2" t="n">
        <f aca="false">COUNTIF(Contacts!$B:$B,B32)</f>
        <v>1</v>
      </c>
      <c r="P32" s="4"/>
      <c r="Q32" s="4"/>
      <c r="R32" s="4"/>
      <c r="S32" s="4"/>
      <c r="T32" s="4"/>
      <c r="U32" s="4"/>
      <c r="V32" s="4"/>
      <c r="W32" s="4"/>
      <c r="X32" s="4"/>
      <c r="Y32" s="5"/>
    </row>
    <row r="33" customFormat="false" ht="46.25" hidden="false" customHeight="false" outlineLevel="0" collapsed="false">
      <c r="A33" s="2" t="n">
        <v>32</v>
      </c>
      <c r="B33" s="2" t="s">
        <v>320</v>
      </c>
      <c r="C33" s="2" t="s">
        <v>321</v>
      </c>
      <c r="D33" s="2" t="s">
        <v>27</v>
      </c>
      <c r="E33" s="2" t="s">
        <v>322</v>
      </c>
      <c r="F33" s="3" t="s">
        <v>323</v>
      </c>
      <c r="G33" s="2" t="s">
        <v>324</v>
      </c>
      <c r="H33" s="3" t="s">
        <v>325</v>
      </c>
      <c r="I33" s="3" t="s">
        <v>326</v>
      </c>
      <c r="J33" s="2" t="s">
        <v>150</v>
      </c>
      <c r="K33" s="2" t="n">
        <v>7</v>
      </c>
      <c r="L33" s="3" t="s">
        <v>327</v>
      </c>
      <c r="M33" s="2" t="s">
        <v>35</v>
      </c>
      <c r="N33" s="3" t="s">
        <v>328</v>
      </c>
      <c r="O33" s="2" t="n">
        <f aca="false">COUNTIF(Contacts!$B:$B,B33)</f>
        <v>2</v>
      </c>
      <c r="P33" s="4"/>
      <c r="Q33" s="4"/>
      <c r="R33" s="4"/>
      <c r="S33" s="4"/>
      <c r="T33" s="4"/>
      <c r="U33" s="4"/>
      <c r="V33" s="4"/>
      <c r="W33" s="4"/>
      <c r="X33" s="4"/>
      <c r="Y33" s="5"/>
    </row>
    <row r="34" customFormat="false" ht="35.05" hidden="false" customHeight="false" outlineLevel="0" collapsed="false">
      <c r="A34" s="2" t="n">
        <v>33</v>
      </c>
      <c r="B34" s="2" t="s">
        <v>329</v>
      </c>
      <c r="C34" s="2" t="s">
        <v>330</v>
      </c>
      <c r="D34" s="2" t="s">
        <v>27</v>
      </c>
      <c r="E34" s="2" t="s">
        <v>331</v>
      </c>
      <c r="F34" s="3" t="s">
        <v>332</v>
      </c>
      <c r="G34" s="2" t="s">
        <v>333</v>
      </c>
      <c r="H34" s="3" t="s">
        <v>334</v>
      </c>
      <c r="I34" s="3" t="s">
        <v>335</v>
      </c>
      <c r="J34" s="2" t="s">
        <v>336</v>
      </c>
      <c r="K34" s="2" t="n">
        <v>6</v>
      </c>
      <c r="L34" s="3" t="s">
        <v>337</v>
      </c>
      <c r="M34" s="2" t="s">
        <v>35</v>
      </c>
      <c r="N34" s="3" t="s">
        <v>338</v>
      </c>
      <c r="O34" s="2" t="n">
        <f aca="false">COUNTIF(Contacts!$B:$B,B34)</f>
        <v>1</v>
      </c>
      <c r="P34" s="4"/>
      <c r="Q34" s="4"/>
      <c r="R34" s="4"/>
      <c r="S34" s="4"/>
      <c r="T34" s="4"/>
      <c r="U34" s="4"/>
      <c r="V34" s="4"/>
      <c r="W34" s="4"/>
      <c r="X34" s="4"/>
      <c r="Y34" s="5"/>
    </row>
    <row r="35" customFormat="false" ht="35.05" hidden="false" customHeight="false" outlineLevel="0" collapsed="false">
      <c r="A35" s="2" t="n">
        <v>34</v>
      </c>
      <c r="B35" s="2" t="s">
        <v>339</v>
      </c>
      <c r="C35" s="2" t="s">
        <v>340</v>
      </c>
      <c r="D35" s="2" t="s">
        <v>341</v>
      </c>
      <c r="E35" s="2" t="s">
        <v>342</v>
      </c>
      <c r="F35" s="3" t="s">
        <v>343</v>
      </c>
      <c r="G35" s="2" t="s">
        <v>344</v>
      </c>
      <c r="H35" s="3" t="s">
        <v>345</v>
      </c>
      <c r="I35" s="3" t="s">
        <v>346</v>
      </c>
      <c r="J35" s="2" t="s">
        <v>336</v>
      </c>
      <c r="K35" s="2" t="n">
        <v>6</v>
      </c>
      <c r="L35" s="3" t="s">
        <v>347</v>
      </c>
      <c r="M35" s="2" t="s">
        <v>35</v>
      </c>
      <c r="N35" s="3" t="s">
        <v>348</v>
      </c>
      <c r="O35" s="2" t="n">
        <f aca="false">COUNTIF(Contacts!$B:$B,B35)</f>
        <v>1</v>
      </c>
      <c r="P35" s="4"/>
      <c r="Q35" s="4"/>
      <c r="R35" s="4"/>
      <c r="S35" s="4"/>
      <c r="T35" s="4"/>
      <c r="U35" s="4"/>
      <c r="V35" s="4"/>
      <c r="W35" s="4"/>
      <c r="X35" s="4"/>
      <c r="Y35" s="5"/>
    </row>
    <row r="36" customFormat="false" ht="57.45" hidden="false" customHeight="false" outlineLevel="0" collapsed="false">
      <c r="A36" s="2" t="n">
        <v>35</v>
      </c>
      <c r="B36" s="2" t="s">
        <v>349</v>
      </c>
      <c r="C36" s="2" t="s">
        <v>350</v>
      </c>
      <c r="D36" s="2" t="s">
        <v>27</v>
      </c>
      <c r="E36" s="2" t="s">
        <v>351</v>
      </c>
      <c r="F36" s="3" t="s">
        <v>352</v>
      </c>
      <c r="G36" s="2" t="s">
        <v>353</v>
      </c>
      <c r="H36" s="3" t="s">
        <v>354</v>
      </c>
      <c r="I36" s="3" t="s">
        <v>355</v>
      </c>
      <c r="J36" s="2" t="s">
        <v>336</v>
      </c>
      <c r="K36" s="2" t="n">
        <v>6</v>
      </c>
      <c r="L36" s="3" t="s">
        <v>356</v>
      </c>
      <c r="M36" s="2" t="s">
        <v>35</v>
      </c>
      <c r="N36" s="3" t="s">
        <v>357</v>
      </c>
      <c r="O36" s="2" t="n">
        <f aca="false">COUNTIF(Contacts!$B:$B,B36)</f>
        <v>1</v>
      </c>
      <c r="P36" s="4"/>
      <c r="Q36" s="4"/>
      <c r="R36" s="4"/>
      <c r="S36" s="4"/>
      <c r="T36" s="4"/>
      <c r="U36" s="4"/>
      <c r="V36" s="4"/>
      <c r="W36" s="4"/>
      <c r="X36" s="4"/>
      <c r="Y36" s="5"/>
    </row>
    <row r="37" customFormat="false" ht="46.25" hidden="false" customHeight="false" outlineLevel="0" collapsed="false">
      <c r="A37" s="2" t="n">
        <v>36</v>
      </c>
      <c r="B37" s="2" t="s">
        <v>358</v>
      </c>
      <c r="C37" s="2" t="s">
        <v>359</v>
      </c>
      <c r="D37" s="2" t="s">
        <v>27</v>
      </c>
      <c r="E37" s="2" t="s">
        <v>360</v>
      </c>
      <c r="F37" s="3" t="s">
        <v>361</v>
      </c>
      <c r="G37" s="2" t="s">
        <v>362</v>
      </c>
      <c r="H37" s="3" t="s">
        <v>363</v>
      </c>
      <c r="I37" s="3" t="s">
        <v>364</v>
      </c>
      <c r="J37" s="2" t="s">
        <v>365</v>
      </c>
      <c r="K37" s="2" t="n">
        <v>6</v>
      </c>
      <c r="L37" s="3" t="s">
        <v>366</v>
      </c>
      <c r="M37" s="2" t="s">
        <v>35</v>
      </c>
      <c r="N37" s="3" t="s">
        <v>367</v>
      </c>
      <c r="O37" s="2" t="n">
        <f aca="false">COUNTIF(Contacts!$B:$B,B37)</f>
        <v>1</v>
      </c>
      <c r="P37" s="4"/>
      <c r="Q37" s="4"/>
      <c r="R37" s="4"/>
      <c r="S37" s="4"/>
      <c r="T37" s="4"/>
      <c r="U37" s="4"/>
      <c r="V37" s="4"/>
      <c r="W37" s="4"/>
      <c r="X37" s="4"/>
      <c r="Y37" s="5"/>
    </row>
    <row r="38" customFormat="false" ht="46.25" hidden="false" customHeight="false" outlineLevel="0" collapsed="false">
      <c r="A38" s="2" t="n">
        <v>37</v>
      </c>
      <c r="B38" s="2" t="s">
        <v>368</v>
      </c>
      <c r="C38" s="2" t="s">
        <v>369</v>
      </c>
      <c r="D38" s="2" t="s">
        <v>370</v>
      </c>
      <c r="E38" s="2" t="s">
        <v>371</v>
      </c>
      <c r="F38" s="3" t="s">
        <v>372</v>
      </c>
      <c r="G38" s="2" t="s">
        <v>373</v>
      </c>
      <c r="H38" s="3" t="s">
        <v>374</v>
      </c>
      <c r="I38" s="3" t="s">
        <v>375</v>
      </c>
      <c r="J38" s="2" t="s">
        <v>376</v>
      </c>
      <c r="K38" s="2" t="n">
        <v>6</v>
      </c>
      <c r="L38" s="3" t="s">
        <v>377</v>
      </c>
      <c r="M38" s="2" t="s">
        <v>35</v>
      </c>
      <c r="N38" s="3" t="s">
        <v>378</v>
      </c>
      <c r="O38" s="2" t="n">
        <f aca="false">COUNTIF(Contacts!$B:$B,B38)</f>
        <v>1</v>
      </c>
      <c r="P38" s="4"/>
      <c r="Q38" s="4"/>
      <c r="R38" s="4"/>
      <c r="S38" s="4"/>
      <c r="T38" s="4"/>
      <c r="U38" s="4"/>
      <c r="V38" s="4"/>
      <c r="W38" s="4"/>
      <c r="X38" s="4"/>
      <c r="Y38" s="5"/>
    </row>
    <row r="39" customFormat="false" ht="46.25" hidden="false" customHeight="false" outlineLevel="0" collapsed="false">
      <c r="A39" s="2" t="n">
        <v>38</v>
      </c>
      <c r="B39" s="2" t="s">
        <v>379</v>
      </c>
      <c r="C39" s="2" t="s">
        <v>380</v>
      </c>
      <c r="D39" s="2" t="s">
        <v>381</v>
      </c>
      <c r="E39" s="2" t="s">
        <v>382</v>
      </c>
      <c r="F39" s="3" t="s">
        <v>383</v>
      </c>
      <c r="G39" s="2" t="s">
        <v>384</v>
      </c>
      <c r="H39" s="3" t="s">
        <v>385</v>
      </c>
      <c r="I39" s="3" t="s">
        <v>386</v>
      </c>
      <c r="J39" s="2" t="s">
        <v>387</v>
      </c>
      <c r="K39" s="2" t="n">
        <v>6</v>
      </c>
      <c r="L39" s="3" t="s">
        <v>388</v>
      </c>
      <c r="M39" s="2" t="s">
        <v>35</v>
      </c>
      <c r="N39" s="3" t="s">
        <v>389</v>
      </c>
      <c r="O39" s="2" t="n">
        <f aca="false">COUNTIF(Contacts!$B:$B,B39)</f>
        <v>1</v>
      </c>
      <c r="P39" s="4"/>
      <c r="Q39" s="4"/>
      <c r="R39" s="4"/>
      <c r="S39" s="4"/>
      <c r="T39" s="4"/>
      <c r="U39" s="4"/>
      <c r="V39" s="4"/>
      <c r="W39" s="4"/>
      <c r="X39" s="4"/>
      <c r="Y39" s="5"/>
    </row>
    <row r="40" customFormat="false" ht="35.05" hidden="false" customHeight="false" outlineLevel="0" collapsed="false">
      <c r="A40" s="2" t="n">
        <v>39</v>
      </c>
      <c r="B40" s="2" t="s">
        <v>390</v>
      </c>
      <c r="C40" s="2" t="s">
        <v>391</v>
      </c>
      <c r="D40" s="2" t="s">
        <v>392</v>
      </c>
      <c r="E40" s="2" t="s">
        <v>156</v>
      </c>
      <c r="F40" s="3" t="s">
        <v>393</v>
      </c>
      <c r="G40" s="2" t="s">
        <v>394</v>
      </c>
      <c r="H40" s="3" t="s">
        <v>395</v>
      </c>
      <c r="I40" s="3" t="s">
        <v>170</v>
      </c>
      <c r="J40" s="2" t="s">
        <v>336</v>
      </c>
      <c r="K40" s="2" t="n">
        <v>6</v>
      </c>
      <c r="L40" s="3" t="s">
        <v>396</v>
      </c>
      <c r="M40" s="2" t="s">
        <v>35</v>
      </c>
      <c r="N40" s="3" t="s">
        <v>397</v>
      </c>
      <c r="O40" s="2" t="n">
        <f aca="false">COUNTIF(Contacts!$B:$B,B40)</f>
        <v>1</v>
      </c>
      <c r="P40" s="4"/>
      <c r="Q40" s="4"/>
      <c r="R40" s="4"/>
      <c r="S40" s="4"/>
      <c r="T40" s="4"/>
      <c r="U40" s="4"/>
      <c r="V40" s="4"/>
      <c r="W40" s="4"/>
      <c r="X40" s="4"/>
      <c r="Y40" s="5"/>
    </row>
    <row r="41" customFormat="false" ht="46.25" hidden="false" customHeight="false" outlineLevel="0" collapsed="false">
      <c r="A41" s="2" t="n">
        <v>40</v>
      </c>
      <c r="B41" s="2" t="s">
        <v>398</v>
      </c>
      <c r="C41" s="2" t="s">
        <v>399</v>
      </c>
      <c r="D41" s="2" t="s">
        <v>392</v>
      </c>
      <c r="E41" s="2" t="s">
        <v>400</v>
      </c>
      <c r="F41" s="3" t="s">
        <v>401</v>
      </c>
      <c r="G41" s="2" t="s">
        <v>402</v>
      </c>
      <c r="H41" s="3" t="s">
        <v>403</v>
      </c>
      <c r="I41" s="3" t="s">
        <v>404</v>
      </c>
      <c r="J41" s="2" t="s">
        <v>387</v>
      </c>
      <c r="K41" s="2" t="n">
        <v>6</v>
      </c>
      <c r="L41" s="3" t="s">
        <v>405</v>
      </c>
      <c r="M41" s="2" t="s">
        <v>35</v>
      </c>
      <c r="N41" s="3" t="s">
        <v>406</v>
      </c>
      <c r="O41" s="2" t="n">
        <f aca="false">COUNTIF(Contacts!$B:$B,B41)</f>
        <v>1</v>
      </c>
      <c r="P41" s="4"/>
      <c r="Q41" s="4"/>
      <c r="R41" s="4"/>
      <c r="S41" s="4"/>
      <c r="T41" s="4"/>
      <c r="U41" s="4"/>
      <c r="V41" s="4"/>
      <c r="W41" s="4"/>
      <c r="X41" s="4"/>
      <c r="Y41" s="5"/>
    </row>
    <row r="42" customFormat="false" ht="35.05" hidden="false" customHeight="false" outlineLevel="0" collapsed="false">
      <c r="A42" s="2" t="n">
        <v>41</v>
      </c>
      <c r="B42" s="2" t="s">
        <v>407</v>
      </c>
      <c r="C42" s="2" t="s">
        <v>408</v>
      </c>
      <c r="D42" s="2" t="s">
        <v>409</v>
      </c>
      <c r="E42" s="2" t="s">
        <v>410</v>
      </c>
      <c r="F42" s="3" t="s">
        <v>411</v>
      </c>
      <c r="G42" s="2" t="s">
        <v>412</v>
      </c>
      <c r="H42" s="3" t="s">
        <v>413</v>
      </c>
      <c r="I42" s="3" t="s">
        <v>170</v>
      </c>
      <c r="J42" s="2" t="s">
        <v>336</v>
      </c>
      <c r="K42" s="2" t="n">
        <v>6</v>
      </c>
      <c r="L42" s="3" t="s">
        <v>414</v>
      </c>
      <c r="M42" s="2" t="s">
        <v>35</v>
      </c>
      <c r="N42" s="3" t="s">
        <v>415</v>
      </c>
      <c r="O42" s="2" t="n">
        <f aca="false">COUNTIF(Contacts!$B:$B,B42)</f>
        <v>1</v>
      </c>
      <c r="P42" s="4"/>
      <c r="Q42" s="4"/>
      <c r="R42" s="4"/>
      <c r="S42" s="4"/>
      <c r="T42" s="4"/>
      <c r="U42" s="4"/>
      <c r="V42" s="4"/>
      <c r="W42" s="4"/>
      <c r="X42" s="4"/>
      <c r="Y42" s="5"/>
    </row>
    <row r="43" customFormat="false" ht="46.25" hidden="false" customHeight="false" outlineLevel="0" collapsed="false">
      <c r="A43" s="2" t="n">
        <v>42</v>
      </c>
      <c r="B43" s="2" t="s">
        <v>416</v>
      </c>
      <c r="C43" s="2" t="s">
        <v>417</v>
      </c>
      <c r="D43" s="2" t="s">
        <v>27</v>
      </c>
      <c r="E43" s="2" t="s">
        <v>418</v>
      </c>
      <c r="F43" s="3" t="s">
        <v>419</v>
      </c>
      <c r="G43" s="2" t="s">
        <v>420</v>
      </c>
      <c r="H43" s="3" t="s">
        <v>421</v>
      </c>
      <c r="I43" s="3" t="s">
        <v>422</v>
      </c>
      <c r="J43" s="2" t="s">
        <v>423</v>
      </c>
      <c r="K43" s="2" t="n">
        <v>6</v>
      </c>
      <c r="L43" s="3" t="s">
        <v>424</v>
      </c>
      <c r="M43" s="2" t="s">
        <v>35</v>
      </c>
      <c r="N43" s="3" t="s">
        <v>425</v>
      </c>
      <c r="O43" s="2" t="n">
        <f aca="false">COUNTIF(Contacts!$B:$B,B43)</f>
        <v>1</v>
      </c>
      <c r="P43" s="4"/>
      <c r="Q43" s="4"/>
      <c r="R43" s="4"/>
      <c r="S43" s="4"/>
      <c r="T43" s="4"/>
      <c r="U43" s="4"/>
      <c r="V43" s="4"/>
      <c r="W43" s="4"/>
      <c r="X43" s="4"/>
      <c r="Y43" s="5"/>
    </row>
    <row r="44" customFormat="false" ht="46.25" hidden="false" customHeight="false" outlineLevel="0" collapsed="false">
      <c r="A44" s="2" t="n">
        <v>43</v>
      </c>
      <c r="B44" s="2" t="s">
        <v>426</v>
      </c>
      <c r="C44" s="2" t="s">
        <v>427</v>
      </c>
      <c r="D44" s="2" t="s">
        <v>183</v>
      </c>
      <c r="E44" s="2" t="s">
        <v>202</v>
      </c>
      <c r="F44" s="3" t="s">
        <v>428</v>
      </c>
      <c r="G44" s="2" t="s">
        <v>429</v>
      </c>
      <c r="H44" s="3" t="s">
        <v>430</v>
      </c>
      <c r="I44" s="3" t="s">
        <v>431</v>
      </c>
      <c r="J44" s="2" t="s">
        <v>336</v>
      </c>
      <c r="K44" s="2" t="n">
        <v>6</v>
      </c>
      <c r="L44" s="3" t="s">
        <v>432</v>
      </c>
      <c r="M44" s="2" t="s">
        <v>35</v>
      </c>
      <c r="N44" s="3" t="s">
        <v>433</v>
      </c>
      <c r="O44" s="2" t="n">
        <f aca="false">COUNTIF(Contacts!$B:$B,B44)</f>
        <v>1</v>
      </c>
      <c r="P44" s="4"/>
      <c r="Q44" s="4"/>
      <c r="R44" s="4"/>
      <c r="S44" s="4"/>
      <c r="T44" s="4"/>
      <c r="U44" s="4"/>
      <c r="V44" s="4"/>
      <c r="W44" s="4"/>
      <c r="X44" s="4"/>
      <c r="Y44" s="5"/>
    </row>
    <row r="45" customFormat="false" ht="35.05" hidden="false" customHeight="false" outlineLevel="0" collapsed="false">
      <c r="A45" s="2" t="n">
        <v>44</v>
      </c>
      <c r="B45" s="2" t="s">
        <v>434</v>
      </c>
      <c r="C45" s="2" t="s">
        <v>435</v>
      </c>
      <c r="D45" s="2" t="s">
        <v>27</v>
      </c>
      <c r="E45" s="2" t="s">
        <v>276</v>
      </c>
      <c r="F45" s="3" t="s">
        <v>436</v>
      </c>
      <c r="G45" s="2" t="s">
        <v>437</v>
      </c>
      <c r="H45" s="3" t="s">
        <v>438</v>
      </c>
      <c r="I45" s="3" t="s">
        <v>439</v>
      </c>
      <c r="J45" s="2" t="s">
        <v>336</v>
      </c>
      <c r="K45" s="2" t="n">
        <v>6</v>
      </c>
      <c r="L45" s="3" t="s">
        <v>440</v>
      </c>
      <c r="M45" s="2" t="s">
        <v>35</v>
      </c>
      <c r="N45" s="3" t="s">
        <v>441</v>
      </c>
      <c r="O45" s="2" t="n">
        <f aca="false">COUNTIF(Contacts!$B:$B,B45)</f>
        <v>1</v>
      </c>
      <c r="P45" s="4"/>
      <c r="Q45" s="4"/>
      <c r="R45" s="4"/>
      <c r="S45" s="4"/>
      <c r="T45" s="4"/>
      <c r="U45" s="4"/>
      <c r="V45" s="4"/>
      <c r="W45" s="4"/>
      <c r="X45" s="4"/>
      <c r="Y45" s="5"/>
    </row>
    <row r="46" customFormat="false" ht="35.05" hidden="false" customHeight="false" outlineLevel="0" collapsed="false">
      <c r="A46" s="2" t="n">
        <v>45</v>
      </c>
      <c r="B46" s="2" t="s">
        <v>442</v>
      </c>
      <c r="C46" s="2" t="s">
        <v>443</v>
      </c>
      <c r="D46" s="2" t="s">
        <v>27</v>
      </c>
      <c r="E46" s="2" t="s">
        <v>444</v>
      </c>
      <c r="F46" s="3" t="s">
        <v>445</v>
      </c>
      <c r="G46" s="2" t="s">
        <v>446</v>
      </c>
      <c r="H46" s="3" t="s">
        <v>447</v>
      </c>
      <c r="I46" s="3" t="s">
        <v>439</v>
      </c>
      <c r="J46" s="2" t="s">
        <v>336</v>
      </c>
      <c r="K46" s="2" t="n">
        <v>6</v>
      </c>
      <c r="L46" s="3" t="s">
        <v>448</v>
      </c>
      <c r="M46" s="2" t="s">
        <v>35</v>
      </c>
      <c r="N46" s="3" t="s">
        <v>449</v>
      </c>
      <c r="O46" s="2" t="n">
        <f aca="false">COUNTIF(Contacts!$B:$B,B46)</f>
        <v>1</v>
      </c>
      <c r="P46" s="4"/>
      <c r="Q46" s="4"/>
      <c r="R46" s="4"/>
      <c r="S46" s="4"/>
      <c r="T46" s="4"/>
      <c r="U46" s="4"/>
      <c r="V46" s="4"/>
      <c r="W46" s="4"/>
      <c r="X46" s="4"/>
      <c r="Y46" s="5"/>
    </row>
    <row r="47" customFormat="false" ht="46.25" hidden="false" customHeight="false" outlineLevel="0" collapsed="false">
      <c r="A47" s="2" t="n">
        <v>46</v>
      </c>
      <c r="B47" s="2" t="s">
        <v>450</v>
      </c>
      <c r="C47" s="2" t="s">
        <v>451</v>
      </c>
      <c r="D47" s="2" t="s">
        <v>452</v>
      </c>
      <c r="E47" s="2" t="s">
        <v>453</v>
      </c>
      <c r="F47" s="3" t="s">
        <v>454</v>
      </c>
      <c r="G47" s="2" t="s">
        <v>455</v>
      </c>
      <c r="H47" s="3" t="s">
        <v>456</v>
      </c>
      <c r="I47" s="3" t="s">
        <v>457</v>
      </c>
      <c r="J47" s="2" t="s">
        <v>336</v>
      </c>
      <c r="K47" s="2" t="n">
        <v>6</v>
      </c>
      <c r="L47" s="3" t="s">
        <v>458</v>
      </c>
      <c r="M47" s="2" t="s">
        <v>35</v>
      </c>
      <c r="N47" s="3" t="s">
        <v>459</v>
      </c>
      <c r="O47" s="2" t="n">
        <f aca="false">COUNTIF(Contacts!$B:$B,B47)</f>
        <v>1</v>
      </c>
      <c r="P47" s="4"/>
      <c r="Q47" s="4"/>
      <c r="R47" s="4"/>
      <c r="S47" s="4"/>
      <c r="T47" s="4"/>
      <c r="U47" s="4"/>
      <c r="V47" s="4"/>
      <c r="W47" s="4"/>
      <c r="X47" s="4"/>
      <c r="Y47" s="5"/>
    </row>
    <row r="48" customFormat="false" ht="35.05" hidden="false" customHeight="false" outlineLevel="0" collapsed="false">
      <c r="A48" s="2" t="n">
        <v>47</v>
      </c>
      <c r="B48" s="2" t="s">
        <v>460</v>
      </c>
      <c r="C48" s="2" t="s">
        <v>461</v>
      </c>
      <c r="D48" s="2" t="s">
        <v>27</v>
      </c>
      <c r="E48" s="2" t="s">
        <v>462</v>
      </c>
      <c r="F48" s="3" t="s">
        <v>463</v>
      </c>
      <c r="G48" s="2" t="s">
        <v>464</v>
      </c>
      <c r="H48" s="3" t="s">
        <v>465</v>
      </c>
      <c r="I48" s="3" t="s">
        <v>466</v>
      </c>
      <c r="J48" s="2" t="s">
        <v>336</v>
      </c>
      <c r="K48" s="2" t="n">
        <v>6</v>
      </c>
      <c r="L48" s="3" t="s">
        <v>467</v>
      </c>
      <c r="M48" s="2" t="s">
        <v>35</v>
      </c>
      <c r="N48" s="3" t="s">
        <v>468</v>
      </c>
      <c r="O48" s="2" t="n">
        <f aca="false">COUNTIF(Contacts!$B:$B,B48)</f>
        <v>1</v>
      </c>
      <c r="P48" s="4"/>
      <c r="Q48" s="4"/>
      <c r="R48" s="4"/>
      <c r="S48" s="4"/>
      <c r="T48" s="4"/>
      <c r="U48" s="4"/>
      <c r="V48" s="4"/>
      <c r="W48" s="4"/>
      <c r="X48" s="4"/>
      <c r="Y48" s="5"/>
    </row>
    <row r="49" customFormat="false" ht="35.05" hidden="false" customHeight="false" outlineLevel="0" collapsed="false">
      <c r="A49" s="2" t="n">
        <v>48</v>
      </c>
      <c r="B49" s="2" t="s">
        <v>469</v>
      </c>
      <c r="C49" s="2" t="s">
        <v>470</v>
      </c>
      <c r="D49" s="2" t="s">
        <v>27</v>
      </c>
      <c r="E49" s="2" t="s">
        <v>471</v>
      </c>
      <c r="F49" s="3" t="s">
        <v>472</v>
      </c>
      <c r="G49" s="2" t="s">
        <v>473</v>
      </c>
      <c r="H49" s="3" t="s">
        <v>474</v>
      </c>
      <c r="I49" s="3" t="s">
        <v>475</v>
      </c>
      <c r="J49" s="2" t="s">
        <v>336</v>
      </c>
      <c r="K49" s="2" t="n">
        <v>6</v>
      </c>
      <c r="L49" s="3" t="s">
        <v>476</v>
      </c>
      <c r="M49" s="2" t="s">
        <v>35</v>
      </c>
      <c r="N49" s="3" t="s">
        <v>477</v>
      </c>
      <c r="O49" s="2" t="n">
        <f aca="false">COUNTIF(Contacts!$B:$B,B49)</f>
        <v>1</v>
      </c>
      <c r="P49" s="4"/>
      <c r="Q49" s="4"/>
      <c r="R49" s="4"/>
      <c r="S49" s="4"/>
      <c r="T49" s="4"/>
      <c r="U49" s="4"/>
      <c r="V49" s="4"/>
      <c r="W49" s="4"/>
      <c r="X49" s="4"/>
      <c r="Y49" s="5"/>
    </row>
    <row r="50" customFormat="false" ht="46.25" hidden="false" customHeight="false" outlineLevel="0" collapsed="false">
      <c r="A50" s="2" t="n">
        <v>49</v>
      </c>
      <c r="B50" s="2" t="s">
        <v>478</v>
      </c>
      <c r="C50" s="2" t="s">
        <v>479</v>
      </c>
      <c r="D50" s="2" t="s">
        <v>27</v>
      </c>
      <c r="E50" s="2" t="s">
        <v>480</v>
      </c>
      <c r="F50" s="3" t="s">
        <v>481</v>
      </c>
      <c r="G50" s="2" t="s">
        <v>482</v>
      </c>
      <c r="H50" s="3" t="s">
        <v>483</v>
      </c>
      <c r="I50" s="3" t="s">
        <v>380</v>
      </c>
      <c r="J50" s="2" t="s">
        <v>484</v>
      </c>
      <c r="K50" s="2" t="n">
        <v>6</v>
      </c>
      <c r="L50" s="3" t="s">
        <v>485</v>
      </c>
      <c r="M50" s="2" t="s">
        <v>35</v>
      </c>
      <c r="N50" s="3"/>
      <c r="O50" s="2" t="n">
        <f aca="false">COUNTIF(Contacts!$B:$B,B50)</f>
        <v>0</v>
      </c>
      <c r="P50" s="4"/>
      <c r="Q50" s="4"/>
      <c r="R50" s="4"/>
      <c r="S50" s="4"/>
      <c r="T50" s="4"/>
      <c r="U50" s="4"/>
      <c r="V50" s="4"/>
      <c r="W50" s="4"/>
      <c r="X50" s="4"/>
      <c r="Y50" s="5"/>
    </row>
    <row r="51" customFormat="false" ht="35.05" hidden="false" customHeight="false" outlineLevel="0" collapsed="false">
      <c r="A51" s="2" t="n">
        <v>50</v>
      </c>
      <c r="B51" s="2" t="s">
        <v>486</v>
      </c>
      <c r="C51" s="2" t="s">
        <v>487</v>
      </c>
      <c r="D51" s="2" t="s">
        <v>27</v>
      </c>
      <c r="E51" s="2" t="s">
        <v>488</v>
      </c>
      <c r="F51" s="3" t="s">
        <v>489</v>
      </c>
      <c r="G51" s="2" t="s">
        <v>490</v>
      </c>
      <c r="H51" s="3" t="s">
        <v>491</v>
      </c>
      <c r="I51" s="3" t="s">
        <v>492</v>
      </c>
      <c r="J51" s="2" t="s">
        <v>336</v>
      </c>
      <c r="K51" s="2" t="n">
        <v>6</v>
      </c>
      <c r="L51" s="3" t="s">
        <v>493</v>
      </c>
      <c r="M51" s="2" t="s">
        <v>35</v>
      </c>
      <c r="N51" s="3" t="s">
        <v>494</v>
      </c>
      <c r="O51" s="2" t="n">
        <f aca="false">COUNTIF(Contacts!$B:$B,B51)</f>
        <v>1</v>
      </c>
      <c r="P51" s="4"/>
      <c r="Q51" s="4"/>
      <c r="R51" s="4"/>
      <c r="S51" s="4"/>
      <c r="T51" s="4"/>
      <c r="U51" s="4"/>
      <c r="V51" s="4"/>
      <c r="W51" s="4"/>
      <c r="X51" s="4"/>
      <c r="Y51" s="5"/>
    </row>
    <row r="52" customFormat="false" ht="35.05" hidden="false" customHeight="false" outlineLevel="0" collapsed="false">
      <c r="A52" s="2" t="n">
        <v>51</v>
      </c>
      <c r="B52" s="2" t="s">
        <v>495</v>
      </c>
      <c r="C52" s="2" t="s">
        <v>496</v>
      </c>
      <c r="D52" s="2" t="s">
        <v>392</v>
      </c>
      <c r="E52" s="2" t="s">
        <v>497</v>
      </c>
      <c r="F52" s="3" t="s">
        <v>498</v>
      </c>
      <c r="G52" s="2" t="s">
        <v>499</v>
      </c>
      <c r="H52" s="3" t="s">
        <v>500</v>
      </c>
      <c r="I52" s="3" t="s">
        <v>501</v>
      </c>
      <c r="J52" s="2" t="s">
        <v>336</v>
      </c>
      <c r="K52" s="2" t="n">
        <v>6</v>
      </c>
      <c r="L52" s="3" t="s">
        <v>502</v>
      </c>
      <c r="M52" s="2" t="s">
        <v>35</v>
      </c>
      <c r="N52" s="3" t="s">
        <v>503</v>
      </c>
      <c r="O52" s="2" t="n">
        <f aca="false">COUNTIF(Contacts!$B:$B,B52)</f>
        <v>1</v>
      </c>
      <c r="P52" s="4"/>
      <c r="Q52" s="4"/>
      <c r="R52" s="4"/>
      <c r="S52" s="4"/>
      <c r="T52" s="4"/>
      <c r="U52" s="4"/>
      <c r="V52" s="4"/>
      <c r="W52" s="4"/>
      <c r="X52" s="4"/>
      <c r="Y52" s="5"/>
    </row>
    <row r="53" customFormat="false" ht="35.05" hidden="false" customHeight="false" outlineLevel="0" collapsed="false">
      <c r="A53" s="2" t="n">
        <v>52</v>
      </c>
      <c r="B53" s="2" t="s">
        <v>504</v>
      </c>
      <c r="C53" s="2" t="s">
        <v>505</v>
      </c>
      <c r="D53" s="2" t="s">
        <v>506</v>
      </c>
      <c r="E53" s="2" t="s">
        <v>507</v>
      </c>
      <c r="F53" s="3" t="s">
        <v>508</v>
      </c>
      <c r="G53" s="2" t="s">
        <v>509</v>
      </c>
      <c r="H53" s="3" t="s">
        <v>510</v>
      </c>
      <c r="I53" s="3" t="s">
        <v>511</v>
      </c>
      <c r="J53" s="2" t="s">
        <v>387</v>
      </c>
      <c r="K53" s="2" t="n">
        <v>6</v>
      </c>
      <c r="L53" s="3" t="s">
        <v>512</v>
      </c>
      <c r="M53" s="2" t="s">
        <v>35</v>
      </c>
      <c r="N53" s="3" t="s">
        <v>513</v>
      </c>
      <c r="O53" s="2" t="n">
        <f aca="false">COUNTIF(Contacts!$B:$B,B53)</f>
        <v>1</v>
      </c>
      <c r="P53" s="4"/>
      <c r="Q53" s="4"/>
      <c r="R53" s="4"/>
      <c r="S53" s="4"/>
      <c r="T53" s="4"/>
      <c r="U53" s="4"/>
      <c r="V53" s="4"/>
      <c r="W53" s="4"/>
      <c r="X53" s="4"/>
      <c r="Y53" s="5"/>
    </row>
    <row r="54" customFormat="false" ht="35.05" hidden="false" customHeight="false" outlineLevel="0" collapsed="false">
      <c r="A54" s="2" t="n">
        <v>53</v>
      </c>
      <c r="B54" s="2" t="s">
        <v>514</v>
      </c>
      <c r="C54" s="2" t="s">
        <v>515</v>
      </c>
      <c r="D54" s="2" t="s">
        <v>516</v>
      </c>
      <c r="E54" s="2" t="s">
        <v>517</v>
      </c>
      <c r="F54" s="3" t="s">
        <v>518</v>
      </c>
      <c r="G54" s="2" t="s">
        <v>519</v>
      </c>
      <c r="H54" s="3" t="s">
        <v>520</v>
      </c>
      <c r="I54" s="3" t="s">
        <v>521</v>
      </c>
      <c r="J54" s="2" t="s">
        <v>336</v>
      </c>
      <c r="K54" s="2" t="n">
        <v>6</v>
      </c>
      <c r="L54" s="3" t="s">
        <v>522</v>
      </c>
      <c r="M54" s="2" t="s">
        <v>35</v>
      </c>
      <c r="N54" s="3" t="s">
        <v>523</v>
      </c>
      <c r="O54" s="2" t="n">
        <f aca="false">COUNTIF(Contacts!$B:$B,B54)</f>
        <v>1</v>
      </c>
      <c r="P54" s="4"/>
      <c r="Q54" s="4"/>
      <c r="R54" s="4"/>
      <c r="S54" s="4"/>
      <c r="T54" s="4"/>
      <c r="U54" s="4"/>
      <c r="V54" s="4"/>
      <c r="W54" s="4"/>
      <c r="X54" s="4"/>
      <c r="Y54" s="5"/>
    </row>
    <row r="55" customFormat="false" ht="35.05" hidden="false" customHeight="false" outlineLevel="0" collapsed="false">
      <c r="A55" s="2" t="n">
        <v>54</v>
      </c>
      <c r="B55" s="2" t="s">
        <v>524</v>
      </c>
      <c r="C55" s="2" t="s">
        <v>525</v>
      </c>
      <c r="D55" s="2" t="s">
        <v>27</v>
      </c>
      <c r="E55" s="2" t="s">
        <v>526</v>
      </c>
      <c r="F55" s="3" t="s">
        <v>527</v>
      </c>
      <c r="G55" s="2" t="s">
        <v>528</v>
      </c>
      <c r="H55" s="3" t="s">
        <v>529</v>
      </c>
      <c r="I55" s="3" t="s">
        <v>530</v>
      </c>
      <c r="J55" s="2" t="s">
        <v>423</v>
      </c>
      <c r="K55" s="2" t="n">
        <v>6</v>
      </c>
      <c r="L55" s="3" t="s">
        <v>531</v>
      </c>
      <c r="M55" s="2" t="s">
        <v>35</v>
      </c>
      <c r="N55" s="3"/>
      <c r="O55" s="2" t="n">
        <f aca="false">COUNTIF(Contacts!$B:$B,B55)</f>
        <v>0</v>
      </c>
      <c r="P55" s="4"/>
      <c r="Q55" s="4"/>
      <c r="R55" s="4"/>
      <c r="S55" s="4"/>
      <c r="T55" s="4"/>
      <c r="U55" s="4"/>
      <c r="V55" s="4"/>
      <c r="W55" s="4"/>
      <c r="X55" s="4"/>
      <c r="Y55" s="5"/>
    </row>
    <row r="56" customFormat="false" ht="46.25" hidden="false" customHeight="false" outlineLevel="0" collapsed="false">
      <c r="A56" s="2" t="n">
        <v>55</v>
      </c>
      <c r="B56" s="2" t="s">
        <v>532</v>
      </c>
      <c r="C56" s="2" t="s">
        <v>533</v>
      </c>
      <c r="D56" s="2" t="s">
        <v>155</v>
      </c>
      <c r="E56" s="2" t="s">
        <v>534</v>
      </c>
      <c r="F56" s="3" t="s">
        <v>535</v>
      </c>
      <c r="G56" s="2" t="s">
        <v>536</v>
      </c>
      <c r="H56" s="3" t="s">
        <v>537</v>
      </c>
      <c r="I56" s="3" t="s">
        <v>538</v>
      </c>
      <c r="J56" s="2" t="s">
        <v>387</v>
      </c>
      <c r="K56" s="2" t="n">
        <v>6</v>
      </c>
      <c r="L56" s="3" t="s">
        <v>539</v>
      </c>
      <c r="M56" s="2" t="s">
        <v>35</v>
      </c>
      <c r="N56" s="3" t="s">
        <v>540</v>
      </c>
      <c r="O56" s="2" t="n">
        <f aca="false">COUNTIF(Contacts!$B:$B,B56)</f>
        <v>1</v>
      </c>
      <c r="P56" s="4"/>
      <c r="Q56" s="4"/>
      <c r="R56" s="4"/>
      <c r="S56" s="4"/>
      <c r="T56" s="4"/>
      <c r="U56" s="4"/>
      <c r="V56" s="4"/>
      <c r="W56" s="4"/>
      <c r="X56" s="4"/>
      <c r="Y56" s="5"/>
    </row>
    <row r="57" customFormat="false" ht="46.25" hidden="false" customHeight="false" outlineLevel="0" collapsed="false">
      <c r="A57" s="2" t="n">
        <v>56</v>
      </c>
      <c r="B57" s="2" t="s">
        <v>541</v>
      </c>
      <c r="C57" s="2" t="s">
        <v>542</v>
      </c>
      <c r="D57" s="2" t="s">
        <v>27</v>
      </c>
      <c r="E57" s="2" t="s">
        <v>543</v>
      </c>
      <c r="F57" s="3" t="s">
        <v>544</v>
      </c>
      <c r="G57" s="2" t="s">
        <v>545</v>
      </c>
      <c r="H57" s="3" t="s">
        <v>546</v>
      </c>
      <c r="I57" s="3" t="s">
        <v>547</v>
      </c>
      <c r="J57" s="2" t="s">
        <v>336</v>
      </c>
      <c r="K57" s="2" t="n">
        <v>6</v>
      </c>
      <c r="L57" s="3" t="s">
        <v>548</v>
      </c>
      <c r="M57" s="2" t="s">
        <v>35</v>
      </c>
      <c r="N57" s="3" t="s">
        <v>549</v>
      </c>
      <c r="O57" s="2" t="n">
        <f aca="false">COUNTIF(Contacts!$B:$B,B57)</f>
        <v>1</v>
      </c>
      <c r="P57" s="4"/>
      <c r="Q57" s="4"/>
      <c r="R57" s="4"/>
      <c r="S57" s="4"/>
      <c r="T57" s="4"/>
      <c r="U57" s="4"/>
      <c r="V57" s="4"/>
      <c r="W57" s="4"/>
      <c r="X57" s="4"/>
      <c r="Y57" s="5"/>
    </row>
    <row r="58" customFormat="false" ht="57.45" hidden="false" customHeight="false" outlineLevel="0" collapsed="false">
      <c r="A58" s="2" t="n">
        <v>57</v>
      </c>
      <c r="B58" s="2" t="s">
        <v>550</v>
      </c>
      <c r="C58" s="2" t="s">
        <v>551</v>
      </c>
      <c r="D58" s="2" t="s">
        <v>27</v>
      </c>
      <c r="E58" s="2" t="s">
        <v>552</v>
      </c>
      <c r="F58" s="3" t="s">
        <v>553</v>
      </c>
      <c r="G58" s="2" t="s">
        <v>554</v>
      </c>
      <c r="H58" s="3" t="s">
        <v>555</v>
      </c>
      <c r="I58" s="3" t="s">
        <v>556</v>
      </c>
      <c r="J58" s="2" t="s">
        <v>387</v>
      </c>
      <c r="K58" s="2" t="n">
        <v>6</v>
      </c>
      <c r="L58" s="3" t="s">
        <v>557</v>
      </c>
      <c r="M58" s="2" t="s">
        <v>35</v>
      </c>
      <c r="N58" s="3" t="s">
        <v>558</v>
      </c>
      <c r="O58" s="2" t="n">
        <f aca="false">COUNTIF(Contacts!$B:$B,B58)</f>
        <v>1</v>
      </c>
      <c r="P58" s="4"/>
      <c r="Q58" s="4"/>
      <c r="R58" s="4"/>
      <c r="S58" s="4"/>
      <c r="T58" s="4"/>
      <c r="U58" s="4"/>
      <c r="V58" s="4"/>
      <c r="W58" s="4"/>
      <c r="X58" s="4"/>
      <c r="Y58" s="5"/>
    </row>
    <row r="59" customFormat="false" ht="46.25" hidden="false" customHeight="false" outlineLevel="0" collapsed="false">
      <c r="A59" s="2" t="n">
        <v>58</v>
      </c>
      <c r="B59" s="2" t="s">
        <v>559</v>
      </c>
      <c r="C59" s="2" t="s">
        <v>560</v>
      </c>
      <c r="D59" s="2" t="s">
        <v>561</v>
      </c>
      <c r="E59" s="2" t="s">
        <v>562</v>
      </c>
      <c r="F59" s="3" t="s">
        <v>563</v>
      </c>
      <c r="G59" s="2" t="s">
        <v>564</v>
      </c>
      <c r="H59" s="3" t="s">
        <v>565</v>
      </c>
      <c r="I59" s="3" t="s">
        <v>566</v>
      </c>
      <c r="J59" s="2" t="s">
        <v>336</v>
      </c>
      <c r="K59" s="2" t="n">
        <v>6</v>
      </c>
      <c r="L59" s="3" t="s">
        <v>567</v>
      </c>
      <c r="M59" s="2" t="s">
        <v>35</v>
      </c>
      <c r="N59" s="3"/>
      <c r="O59" s="2" t="n">
        <f aca="false">COUNTIF(Contacts!$B:$B,B59)</f>
        <v>0</v>
      </c>
      <c r="P59" s="4"/>
      <c r="Q59" s="4"/>
      <c r="R59" s="4"/>
      <c r="S59" s="4"/>
      <c r="T59" s="4"/>
      <c r="U59" s="4"/>
      <c r="V59" s="4"/>
      <c r="W59" s="4"/>
      <c r="X59" s="4"/>
      <c r="Y59" s="5"/>
    </row>
    <row r="60" customFormat="false" ht="46.25" hidden="false" customHeight="false" outlineLevel="0" collapsed="false">
      <c r="A60" s="2" t="n">
        <v>59</v>
      </c>
      <c r="B60" s="2" t="s">
        <v>568</v>
      </c>
      <c r="C60" s="2" t="s">
        <v>569</v>
      </c>
      <c r="D60" s="2" t="s">
        <v>570</v>
      </c>
      <c r="E60" s="2" t="s">
        <v>571</v>
      </c>
      <c r="F60" s="3" t="s">
        <v>572</v>
      </c>
      <c r="G60" s="2" t="s">
        <v>573</v>
      </c>
      <c r="H60" s="3" t="s">
        <v>574</v>
      </c>
      <c r="I60" s="3" t="s">
        <v>575</v>
      </c>
      <c r="J60" s="2" t="s">
        <v>336</v>
      </c>
      <c r="K60" s="2" t="n">
        <v>6</v>
      </c>
      <c r="L60" s="3" t="s">
        <v>576</v>
      </c>
      <c r="M60" s="2" t="s">
        <v>35</v>
      </c>
      <c r="N60" s="3" t="s">
        <v>577</v>
      </c>
      <c r="O60" s="2" t="n">
        <f aca="false">COUNTIF(Contacts!$B:$B,B60)</f>
        <v>1</v>
      </c>
      <c r="P60" s="4"/>
      <c r="Q60" s="4"/>
      <c r="R60" s="4"/>
      <c r="S60" s="4"/>
      <c r="T60" s="4"/>
      <c r="U60" s="4"/>
      <c r="V60" s="4"/>
      <c r="W60" s="4"/>
      <c r="X60" s="4"/>
      <c r="Y60" s="5"/>
    </row>
    <row r="61" customFormat="false" ht="46.25" hidden="false" customHeight="false" outlineLevel="0" collapsed="false">
      <c r="A61" s="2" t="n">
        <v>60</v>
      </c>
      <c r="B61" s="2" t="s">
        <v>578</v>
      </c>
      <c r="C61" s="2" t="s">
        <v>579</v>
      </c>
      <c r="D61" s="2" t="s">
        <v>27</v>
      </c>
      <c r="E61" s="2" t="s">
        <v>580</v>
      </c>
      <c r="F61" s="3" t="s">
        <v>581</v>
      </c>
      <c r="G61" s="2" t="s">
        <v>582</v>
      </c>
      <c r="H61" s="3" t="s">
        <v>583</v>
      </c>
      <c r="I61" s="3" t="s">
        <v>584</v>
      </c>
      <c r="J61" s="2" t="s">
        <v>387</v>
      </c>
      <c r="K61" s="2" t="n">
        <v>6</v>
      </c>
      <c r="L61" s="3" t="s">
        <v>585</v>
      </c>
      <c r="M61" s="2" t="s">
        <v>35</v>
      </c>
      <c r="N61" s="3" t="s">
        <v>586</v>
      </c>
      <c r="O61" s="2" t="n">
        <f aca="false">COUNTIF(Contacts!$B:$B,B61)</f>
        <v>1</v>
      </c>
      <c r="P61" s="4"/>
      <c r="Q61" s="4"/>
      <c r="R61" s="4"/>
      <c r="S61" s="4"/>
      <c r="T61" s="4"/>
      <c r="U61" s="4"/>
      <c r="V61" s="4"/>
      <c r="W61" s="4"/>
      <c r="X61" s="4"/>
      <c r="Y61" s="5"/>
    </row>
    <row r="62" customFormat="false" ht="35.05" hidden="false" customHeight="false" outlineLevel="0" collapsed="false">
      <c r="A62" s="2" t="n">
        <v>61</v>
      </c>
      <c r="B62" s="2" t="s">
        <v>587</v>
      </c>
      <c r="C62" s="2" t="s">
        <v>588</v>
      </c>
      <c r="D62" s="2" t="s">
        <v>27</v>
      </c>
      <c r="E62" s="2" t="s">
        <v>589</v>
      </c>
      <c r="F62" s="3" t="s">
        <v>590</v>
      </c>
      <c r="G62" s="2" t="s">
        <v>591</v>
      </c>
      <c r="H62" s="3" t="s">
        <v>592</v>
      </c>
      <c r="I62" s="3" t="s">
        <v>593</v>
      </c>
      <c r="J62" s="2" t="s">
        <v>336</v>
      </c>
      <c r="K62" s="2" t="n">
        <v>6</v>
      </c>
      <c r="L62" s="3" t="s">
        <v>594</v>
      </c>
      <c r="M62" s="2" t="s">
        <v>35</v>
      </c>
      <c r="N62" s="3" t="s">
        <v>595</v>
      </c>
      <c r="O62" s="2" t="n">
        <f aca="false">COUNTIF(Contacts!$B:$B,B62)</f>
        <v>1</v>
      </c>
      <c r="P62" s="4"/>
      <c r="Q62" s="4"/>
      <c r="R62" s="4"/>
      <c r="S62" s="4"/>
      <c r="T62" s="4"/>
      <c r="U62" s="4"/>
      <c r="V62" s="4"/>
      <c r="W62" s="4"/>
      <c r="X62" s="4"/>
      <c r="Y62" s="5"/>
    </row>
    <row r="63" customFormat="false" ht="46.25" hidden="false" customHeight="false" outlineLevel="0" collapsed="false">
      <c r="A63" s="2" t="n">
        <v>62</v>
      </c>
      <c r="B63" s="2" t="s">
        <v>596</v>
      </c>
      <c r="C63" s="2" t="s">
        <v>597</v>
      </c>
      <c r="D63" s="2" t="s">
        <v>27</v>
      </c>
      <c r="E63" s="2" t="s">
        <v>598</v>
      </c>
      <c r="F63" s="3" t="s">
        <v>599</v>
      </c>
      <c r="G63" s="2" t="s">
        <v>600</v>
      </c>
      <c r="H63" s="3" t="s">
        <v>601</v>
      </c>
      <c r="I63" s="3" t="s">
        <v>602</v>
      </c>
      <c r="J63" s="2" t="s">
        <v>336</v>
      </c>
      <c r="K63" s="2" t="n">
        <v>6</v>
      </c>
      <c r="L63" s="3" t="s">
        <v>603</v>
      </c>
      <c r="M63" s="2" t="s">
        <v>35</v>
      </c>
      <c r="N63" s="3" t="s">
        <v>604</v>
      </c>
      <c r="O63" s="2" t="n">
        <f aca="false">COUNTIF(Contacts!$B:$B,B63)</f>
        <v>1</v>
      </c>
      <c r="P63" s="4"/>
      <c r="Q63" s="4"/>
      <c r="R63" s="4"/>
      <c r="S63" s="4"/>
      <c r="T63" s="4"/>
      <c r="U63" s="4"/>
      <c r="V63" s="4"/>
      <c r="W63" s="4"/>
      <c r="X63" s="4"/>
      <c r="Y63" s="5"/>
    </row>
    <row r="64" customFormat="false" ht="46.25" hidden="false" customHeight="false" outlineLevel="0" collapsed="false">
      <c r="A64" s="2" t="n">
        <v>63</v>
      </c>
      <c r="B64" s="2" t="s">
        <v>605</v>
      </c>
      <c r="C64" s="2" t="s">
        <v>606</v>
      </c>
      <c r="D64" s="2" t="s">
        <v>607</v>
      </c>
      <c r="E64" s="2" t="s">
        <v>608</v>
      </c>
      <c r="F64" s="3" t="s">
        <v>609</v>
      </c>
      <c r="G64" s="2" t="s">
        <v>610</v>
      </c>
      <c r="H64" s="3" t="s">
        <v>611</v>
      </c>
      <c r="I64" s="3" t="s">
        <v>612</v>
      </c>
      <c r="J64" s="2" t="s">
        <v>387</v>
      </c>
      <c r="K64" s="2" t="n">
        <v>6</v>
      </c>
      <c r="L64" s="3" t="s">
        <v>613</v>
      </c>
      <c r="M64" s="2" t="s">
        <v>35</v>
      </c>
      <c r="N64" s="3" t="s">
        <v>614</v>
      </c>
      <c r="O64" s="2" t="n">
        <f aca="false">COUNTIF(Contacts!$B:$B,B64)</f>
        <v>1</v>
      </c>
      <c r="P64" s="4"/>
      <c r="Q64" s="4"/>
      <c r="R64" s="4"/>
      <c r="S64" s="4"/>
      <c r="T64" s="4"/>
      <c r="U64" s="4"/>
      <c r="V64" s="4"/>
      <c r="W64" s="4"/>
      <c r="X64" s="4"/>
      <c r="Y64" s="5"/>
    </row>
    <row r="65" customFormat="false" ht="35.05" hidden="false" customHeight="false" outlineLevel="0" collapsed="false">
      <c r="A65" s="2" t="n">
        <v>64</v>
      </c>
      <c r="B65" s="2" t="s">
        <v>615</v>
      </c>
      <c r="C65" s="2" t="s">
        <v>616</v>
      </c>
      <c r="D65" s="2" t="s">
        <v>617</v>
      </c>
      <c r="E65" s="2" t="s">
        <v>571</v>
      </c>
      <c r="F65" s="3" t="s">
        <v>618</v>
      </c>
      <c r="G65" s="2" t="s">
        <v>619</v>
      </c>
      <c r="H65" s="3" t="s">
        <v>620</v>
      </c>
      <c r="I65" s="3" t="s">
        <v>621</v>
      </c>
      <c r="J65" s="2" t="s">
        <v>622</v>
      </c>
      <c r="K65" s="2" t="n">
        <v>6</v>
      </c>
      <c r="L65" s="3" t="s">
        <v>623</v>
      </c>
      <c r="M65" s="2" t="s">
        <v>35</v>
      </c>
      <c r="N65" s="3" t="s">
        <v>624</v>
      </c>
      <c r="O65" s="2" t="n">
        <f aca="false">COUNTIF(Contacts!$B:$B,B65)</f>
        <v>1</v>
      </c>
      <c r="P65" s="4"/>
      <c r="Q65" s="4"/>
      <c r="R65" s="4"/>
      <c r="S65" s="4"/>
      <c r="T65" s="4"/>
      <c r="U65" s="4"/>
      <c r="V65" s="4"/>
      <c r="W65" s="4"/>
      <c r="X65" s="4"/>
      <c r="Y65" s="5"/>
    </row>
    <row r="66" customFormat="false" ht="46.25" hidden="false" customHeight="false" outlineLevel="0" collapsed="false">
      <c r="A66" s="2" t="n">
        <v>65</v>
      </c>
      <c r="B66" s="2" t="s">
        <v>625</v>
      </c>
      <c r="C66" s="2" t="s">
        <v>626</v>
      </c>
      <c r="D66" s="2" t="s">
        <v>27</v>
      </c>
      <c r="E66" s="2" t="s">
        <v>627</v>
      </c>
      <c r="F66" s="3" t="s">
        <v>628</v>
      </c>
      <c r="G66" s="2" t="s">
        <v>629</v>
      </c>
      <c r="H66" s="3" t="s">
        <v>630</v>
      </c>
      <c r="I66" s="3" t="s">
        <v>631</v>
      </c>
      <c r="J66" s="2" t="s">
        <v>632</v>
      </c>
      <c r="K66" s="2" t="n">
        <v>6</v>
      </c>
      <c r="L66" s="3" t="s">
        <v>633</v>
      </c>
      <c r="M66" s="2" t="s">
        <v>35</v>
      </c>
      <c r="N66" s="3" t="s">
        <v>634</v>
      </c>
      <c r="O66" s="2" t="n">
        <f aca="false">COUNTIF(Contacts!$B:$B,B66)</f>
        <v>1</v>
      </c>
      <c r="P66" s="4"/>
      <c r="Q66" s="4"/>
      <c r="R66" s="4"/>
      <c r="S66" s="4"/>
      <c r="T66" s="4"/>
      <c r="U66" s="4"/>
      <c r="V66" s="4"/>
      <c r="W66" s="4"/>
      <c r="X66" s="4"/>
      <c r="Y66" s="5"/>
    </row>
    <row r="67" customFormat="false" ht="46.25" hidden="false" customHeight="false" outlineLevel="0" collapsed="false">
      <c r="A67" s="2" t="n">
        <v>66</v>
      </c>
      <c r="B67" s="2" t="s">
        <v>635</v>
      </c>
      <c r="C67" s="2" t="s">
        <v>636</v>
      </c>
      <c r="D67" s="2" t="s">
        <v>27</v>
      </c>
      <c r="E67" s="2" t="s">
        <v>637</v>
      </c>
      <c r="F67" s="3" t="s">
        <v>638</v>
      </c>
      <c r="G67" s="2" t="s">
        <v>639</v>
      </c>
      <c r="H67" s="3" t="s">
        <v>640</v>
      </c>
      <c r="I67" s="3" t="s">
        <v>641</v>
      </c>
      <c r="J67" s="2" t="s">
        <v>387</v>
      </c>
      <c r="K67" s="2" t="n">
        <v>6</v>
      </c>
      <c r="L67" s="3" t="s">
        <v>642</v>
      </c>
      <c r="M67" s="2" t="s">
        <v>35</v>
      </c>
      <c r="N67" s="3" t="s">
        <v>643</v>
      </c>
      <c r="O67" s="2" t="n">
        <f aca="false">COUNTIF(Contacts!$B:$B,B67)</f>
        <v>1</v>
      </c>
      <c r="P67" s="4"/>
      <c r="Q67" s="4"/>
      <c r="R67" s="4"/>
      <c r="S67" s="4"/>
      <c r="T67" s="4"/>
      <c r="U67" s="4"/>
      <c r="V67" s="4"/>
      <c r="W67" s="4"/>
      <c r="X67" s="4"/>
      <c r="Y67" s="5"/>
    </row>
    <row r="68" customFormat="false" ht="46.25" hidden="false" customHeight="false" outlineLevel="0" collapsed="false">
      <c r="A68" s="2" t="n">
        <v>67</v>
      </c>
      <c r="B68" s="2" t="s">
        <v>644</v>
      </c>
      <c r="C68" s="2" t="s">
        <v>645</v>
      </c>
      <c r="D68" s="2" t="s">
        <v>646</v>
      </c>
      <c r="E68" s="2" t="s">
        <v>647</v>
      </c>
      <c r="F68" s="3" t="s">
        <v>648</v>
      </c>
      <c r="G68" s="2" t="s">
        <v>649</v>
      </c>
      <c r="H68" s="3" t="s">
        <v>650</v>
      </c>
      <c r="I68" s="3" t="s">
        <v>651</v>
      </c>
      <c r="J68" s="2" t="s">
        <v>484</v>
      </c>
      <c r="K68" s="2" t="n">
        <v>6</v>
      </c>
      <c r="L68" s="3" t="s">
        <v>652</v>
      </c>
      <c r="M68" s="2" t="s">
        <v>35</v>
      </c>
      <c r="N68" s="3" t="s">
        <v>653</v>
      </c>
      <c r="O68" s="2" t="n">
        <f aca="false">COUNTIF(Contacts!$B:$B,B68)</f>
        <v>1</v>
      </c>
      <c r="P68" s="4"/>
      <c r="Q68" s="4"/>
      <c r="R68" s="4"/>
      <c r="S68" s="4"/>
      <c r="T68" s="4"/>
      <c r="U68" s="4"/>
      <c r="V68" s="4"/>
      <c r="W68" s="4"/>
      <c r="X68" s="4"/>
      <c r="Y68" s="5"/>
    </row>
    <row r="69" customFormat="false" ht="46.25" hidden="false" customHeight="false" outlineLevel="0" collapsed="false">
      <c r="A69" s="2" t="n">
        <v>68</v>
      </c>
      <c r="B69" s="2" t="s">
        <v>654</v>
      </c>
      <c r="C69" s="2" t="s">
        <v>655</v>
      </c>
      <c r="D69" s="2" t="s">
        <v>27</v>
      </c>
      <c r="E69" s="2" t="s">
        <v>656</v>
      </c>
      <c r="F69" s="3" t="s">
        <v>657</v>
      </c>
      <c r="G69" s="2" t="s">
        <v>658</v>
      </c>
      <c r="H69" s="3" t="s">
        <v>659</v>
      </c>
      <c r="I69" s="3" t="s">
        <v>660</v>
      </c>
      <c r="J69" s="2" t="s">
        <v>661</v>
      </c>
      <c r="K69" s="2" t="n">
        <v>5</v>
      </c>
      <c r="L69" s="3" t="s">
        <v>662</v>
      </c>
      <c r="M69" s="2" t="s">
        <v>35</v>
      </c>
      <c r="N69" s="3"/>
      <c r="O69" s="2" t="n">
        <f aca="false">COUNTIF(Contacts!$B:$B,B69)</f>
        <v>0</v>
      </c>
      <c r="P69" s="4"/>
      <c r="Q69" s="4"/>
      <c r="R69" s="4"/>
      <c r="S69" s="4"/>
      <c r="T69" s="4"/>
      <c r="U69" s="4"/>
      <c r="V69" s="4"/>
      <c r="W69" s="4"/>
      <c r="X69" s="4"/>
      <c r="Y69" s="5"/>
    </row>
    <row r="70" customFormat="false" ht="35.05" hidden="false" customHeight="false" outlineLevel="0" collapsed="false">
      <c r="A70" s="2" t="n">
        <v>69</v>
      </c>
      <c r="B70" s="2" t="s">
        <v>663</v>
      </c>
      <c r="C70" s="2" t="s">
        <v>664</v>
      </c>
      <c r="D70" s="2" t="s">
        <v>27</v>
      </c>
      <c r="E70" s="2" t="s">
        <v>665</v>
      </c>
      <c r="F70" s="3" t="s">
        <v>666</v>
      </c>
      <c r="G70" s="2" t="s">
        <v>667</v>
      </c>
      <c r="H70" s="3" t="s">
        <v>668</v>
      </c>
      <c r="I70" s="3" t="s">
        <v>669</v>
      </c>
      <c r="J70" s="2" t="s">
        <v>670</v>
      </c>
      <c r="K70" s="2" t="n">
        <v>5</v>
      </c>
      <c r="L70" s="3" t="s">
        <v>671</v>
      </c>
      <c r="M70" s="2" t="s">
        <v>35</v>
      </c>
      <c r="N70" s="3" t="s">
        <v>672</v>
      </c>
      <c r="O70" s="2" t="n">
        <f aca="false">COUNTIF(Contacts!$B:$B,B70)</f>
        <v>1</v>
      </c>
      <c r="P70" s="4"/>
      <c r="Q70" s="4"/>
      <c r="R70" s="4"/>
      <c r="S70" s="4"/>
      <c r="T70" s="4"/>
      <c r="U70" s="4"/>
      <c r="V70" s="4"/>
      <c r="W70" s="4"/>
      <c r="X70" s="4"/>
      <c r="Y70" s="5"/>
    </row>
    <row r="71" customFormat="false" ht="35.05" hidden="false" customHeight="false" outlineLevel="0" collapsed="false">
      <c r="A71" s="2" t="n">
        <v>70</v>
      </c>
      <c r="B71" s="2" t="s">
        <v>673</v>
      </c>
      <c r="C71" s="2" t="s">
        <v>674</v>
      </c>
      <c r="D71" s="2" t="s">
        <v>155</v>
      </c>
      <c r="E71" s="2" t="s">
        <v>675</v>
      </c>
      <c r="F71" s="3" t="s">
        <v>676</v>
      </c>
      <c r="G71" s="2" t="s">
        <v>677</v>
      </c>
      <c r="H71" s="3" t="s">
        <v>678</v>
      </c>
      <c r="I71" s="3" t="s">
        <v>679</v>
      </c>
      <c r="J71" s="2" t="s">
        <v>680</v>
      </c>
      <c r="K71" s="2" t="n">
        <v>5</v>
      </c>
      <c r="L71" s="3" t="s">
        <v>681</v>
      </c>
      <c r="M71" s="2" t="s">
        <v>35</v>
      </c>
      <c r="N71" s="3" t="s">
        <v>682</v>
      </c>
      <c r="O71" s="2" t="n">
        <f aca="false">COUNTIF(Contacts!$B:$B,B71)</f>
        <v>1</v>
      </c>
      <c r="P71" s="4"/>
      <c r="Q71" s="4"/>
      <c r="R71" s="4"/>
      <c r="S71" s="4"/>
      <c r="T71" s="4"/>
      <c r="U71" s="4"/>
      <c r="V71" s="4"/>
      <c r="W71" s="4"/>
      <c r="X71" s="4"/>
      <c r="Y71" s="5"/>
    </row>
    <row r="72" customFormat="false" ht="35.05" hidden="false" customHeight="false" outlineLevel="0" collapsed="false">
      <c r="A72" s="2" t="n">
        <v>71</v>
      </c>
      <c r="B72" s="2" t="s">
        <v>683</v>
      </c>
      <c r="C72" s="2" t="s">
        <v>684</v>
      </c>
      <c r="D72" s="2" t="s">
        <v>155</v>
      </c>
      <c r="E72" s="2" t="s">
        <v>685</v>
      </c>
      <c r="F72" s="3" t="s">
        <v>686</v>
      </c>
      <c r="G72" s="2" t="s">
        <v>687</v>
      </c>
      <c r="H72" s="3" t="s">
        <v>688</v>
      </c>
      <c r="I72" s="3" t="s">
        <v>689</v>
      </c>
      <c r="J72" s="2" t="s">
        <v>661</v>
      </c>
      <c r="K72" s="2" t="n">
        <v>5</v>
      </c>
      <c r="L72" s="3" t="s">
        <v>690</v>
      </c>
      <c r="M72" s="2" t="s">
        <v>35</v>
      </c>
      <c r="N72" s="3" t="s">
        <v>691</v>
      </c>
      <c r="O72" s="2" t="n">
        <f aca="false">COUNTIF(Contacts!$B:$B,B72)</f>
        <v>1</v>
      </c>
      <c r="P72" s="4"/>
      <c r="Q72" s="4"/>
      <c r="R72" s="4"/>
      <c r="S72" s="4"/>
      <c r="T72" s="4"/>
      <c r="U72" s="4"/>
      <c r="V72" s="4"/>
      <c r="W72" s="4"/>
      <c r="X72" s="4"/>
      <c r="Y72" s="5"/>
    </row>
    <row r="73" customFormat="false" ht="35.05" hidden="false" customHeight="false" outlineLevel="0" collapsed="false">
      <c r="A73" s="2" t="n">
        <v>72</v>
      </c>
      <c r="B73" s="2" t="s">
        <v>692</v>
      </c>
      <c r="C73" s="2" t="s">
        <v>693</v>
      </c>
      <c r="D73" s="2" t="s">
        <v>27</v>
      </c>
      <c r="E73" s="2" t="s">
        <v>694</v>
      </c>
      <c r="F73" s="3" t="s">
        <v>695</v>
      </c>
      <c r="G73" s="2" t="s">
        <v>696</v>
      </c>
      <c r="H73" s="3" t="s">
        <v>697</v>
      </c>
      <c r="I73" s="3" t="s">
        <v>380</v>
      </c>
      <c r="J73" s="2" t="s">
        <v>698</v>
      </c>
      <c r="K73" s="2" t="n">
        <v>5</v>
      </c>
      <c r="L73" s="3" t="s">
        <v>699</v>
      </c>
      <c r="M73" s="2" t="s">
        <v>35</v>
      </c>
      <c r="N73" s="3" t="s">
        <v>700</v>
      </c>
      <c r="O73" s="2" t="n">
        <f aca="false">COUNTIF(Contacts!$B:$B,B73)</f>
        <v>1</v>
      </c>
      <c r="P73" s="4"/>
      <c r="Q73" s="4"/>
      <c r="R73" s="4"/>
      <c r="S73" s="4"/>
      <c r="T73" s="4"/>
      <c r="U73" s="4"/>
      <c r="V73" s="4"/>
      <c r="W73" s="4"/>
      <c r="X73" s="4"/>
      <c r="Y73" s="5"/>
    </row>
    <row r="74" customFormat="false" ht="35.05" hidden="false" customHeight="false" outlineLevel="0" collapsed="false">
      <c r="A74" s="2" t="n">
        <v>73</v>
      </c>
      <c r="B74" s="2" t="s">
        <v>701</v>
      </c>
      <c r="C74" s="2" t="s">
        <v>702</v>
      </c>
      <c r="D74" s="2" t="s">
        <v>27</v>
      </c>
      <c r="E74" s="2" t="s">
        <v>703</v>
      </c>
      <c r="F74" s="3" t="s">
        <v>704</v>
      </c>
      <c r="G74" s="2" t="s">
        <v>705</v>
      </c>
      <c r="H74" s="3" t="s">
        <v>706</v>
      </c>
      <c r="I74" s="3" t="s">
        <v>380</v>
      </c>
      <c r="J74" s="2" t="s">
        <v>698</v>
      </c>
      <c r="K74" s="2" t="n">
        <v>5</v>
      </c>
      <c r="L74" s="3" t="s">
        <v>707</v>
      </c>
      <c r="M74" s="2" t="s">
        <v>35</v>
      </c>
      <c r="N74" s="3" t="s">
        <v>708</v>
      </c>
      <c r="O74" s="2" t="n">
        <f aca="false">COUNTIF(Contacts!$B:$B,B74)</f>
        <v>1</v>
      </c>
      <c r="P74" s="4"/>
      <c r="Q74" s="4"/>
      <c r="R74" s="4"/>
      <c r="S74" s="4"/>
      <c r="T74" s="4"/>
      <c r="U74" s="4"/>
      <c r="V74" s="4"/>
      <c r="W74" s="4"/>
      <c r="X74" s="4"/>
      <c r="Y74" s="5"/>
    </row>
    <row r="75" customFormat="false" ht="35.05" hidden="false" customHeight="false" outlineLevel="0" collapsed="false">
      <c r="A75" s="2" t="n">
        <v>74</v>
      </c>
      <c r="B75" s="2" t="s">
        <v>709</v>
      </c>
      <c r="C75" s="2" t="s">
        <v>710</v>
      </c>
      <c r="D75" s="2" t="s">
        <v>27</v>
      </c>
      <c r="E75" s="2" t="s">
        <v>711</v>
      </c>
      <c r="F75" s="3" t="s">
        <v>712</v>
      </c>
      <c r="G75" s="2" t="s">
        <v>713</v>
      </c>
      <c r="H75" s="3" t="s">
        <v>714</v>
      </c>
      <c r="I75" s="3" t="s">
        <v>380</v>
      </c>
      <c r="J75" s="2" t="s">
        <v>698</v>
      </c>
      <c r="K75" s="2" t="n">
        <v>5</v>
      </c>
      <c r="L75" s="3" t="s">
        <v>715</v>
      </c>
      <c r="M75" s="2" t="s">
        <v>35</v>
      </c>
      <c r="N75" s="3" t="s">
        <v>716</v>
      </c>
      <c r="O75" s="2" t="n">
        <f aca="false">COUNTIF(Contacts!$B:$B,B75)</f>
        <v>1</v>
      </c>
      <c r="P75" s="4"/>
      <c r="Q75" s="4"/>
      <c r="R75" s="4"/>
      <c r="S75" s="4"/>
      <c r="T75" s="4"/>
      <c r="U75" s="4"/>
      <c r="V75" s="4"/>
      <c r="W75" s="4"/>
      <c r="X75" s="4"/>
      <c r="Y75" s="5"/>
    </row>
    <row r="76" customFormat="false" ht="46.25" hidden="false" customHeight="false" outlineLevel="0" collapsed="false">
      <c r="A76" s="2" t="n">
        <v>75</v>
      </c>
      <c r="B76" s="2" t="s">
        <v>717</v>
      </c>
      <c r="C76" s="2" t="s">
        <v>718</v>
      </c>
      <c r="D76" s="2" t="s">
        <v>27</v>
      </c>
      <c r="E76" s="2" t="s">
        <v>202</v>
      </c>
      <c r="F76" s="3" t="s">
        <v>719</v>
      </c>
      <c r="G76" s="2" t="s">
        <v>720</v>
      </c>
      <c r="H76" s="3" t="s">
        <v>721</v>
      </c>
      <c r="I76" s="3" t="s">
        <v>722</v>
      </c>
      <c r="J76" s="2" t="s">
        <v>723</v>
      </c>
      <c r="K76" s="2" t="n">
        <v>5</v>
      </c>
      <c r="L76" s="3" t="s">
        <v>724</v>
      </c>
      <c r="M76" s="2" t="s">
        <v>35</v>
      </c>
      <c r="N76" s="3"/>
      <c r="O76" s="2" t="n">
        <f aca="false">COUNTIF(Contacts!$B:$B,B76)</f>
        <v>0</v>
      </c>
      <c r="P76" s="4"/>
      <c r="Q76" s="4"/>
      <c r="R76" s="4"/>
      <c r="S76" s="4"/>
      <c r="T76" s="4"/>
      <c r="U76" s="4"/>
      <c r="V76" s="4"/>
      <c r="W76" s="4"/>
      <c r="X76" s="4"/>
      <c r="Y76" s="5"/>
    </row>
    <row r="77" customFormat="false" ht="35.05" hidden="false" customHeight="false" outlineLevel="0" collapsed="false">
      <c r="A77" s="2" t="n">
        <v>76</v>
      </c>
      <c r="B77" s="2" t="s">
        <v>725</v>
      </c>
      <c r="C77" s="2" t="s">
        <v>726</v>
      </c>
      <c r="D77" s="2" t="s">
        <v>27</v>
      </c>
      <c r="E77" s="2" t="s">
        <v>202</v>
      </c>
      <c r="F77" s="3" t="s">
        <v>727</v>
      </c>
      <c r="G77" s="2" t="s">
        <v>728</v>
      </c>
      <c r="H77" s="3" t="s">
        <v>729</v>
      </c>
      <c r="I77" s="3" t="s">
        <v>431</v>
      </c>
      <c r="J77" s="2" t="s">
        <v>723</v>
      </c>
      <c r="K77" s="2" t="n">
        <v>5</v>
      </c>
      <c r="L77" s="3" t="s">
        <v>730</v>
      </c>
      <c r="M77" s="2" t="s">
        <v>35</v>
      </c>
      <c r="N77" s="3"/>
      <c r="O77" s="2" t="n">
        <f aca="false">COUNTIF(Contacts!$B:$B,B77)</f>
        <v>0</v>
      </c>
      <c r="P77" s="4"/>
      <c r="Q77" s="4"/>
      <c r="R77" s="4"/>
      <c r="S77" s="4"/>
      <c r="T77" s="4"/>
      <c r="U77" s="4"/>
      <c r="V77" s="4"/>
      <c r="W77" s="4"/>
      <c r="X77" s="4"/>
      <c r="Y77" s="5"/>
    </row>
    <row r="78" customFormat="false" ht="35.05" hidden="false" customHeight="false" outlineLevel="0" collapsed="false">
      <c r="A78" s="2" t="n">
        <v>77</v>
      </c>
      <c r="B78" s="2" t="s">
        <v>731</v>
      </c>
      <c r="C78" s="2" t="s">
        <v>732</v>
      </c>
      <c r="D78" s="2" t="s">
        <v>155</v>
      </c>
      <c r="E78" s="2" t="s">
        <v>202</v>
      </c>
      <c r="F78" s="3" t="s">
        <v>733</v>
      </c>
      <c r="G78" s="2" t="s">
        <v>734</v>
      </c>
      <c r="H78" s="3" t="s">
        <v>735</v>
      </c>
      <c r="I78" s="3" t="s">
        <v>431</v>
      </c>
      <c r="J78" s="2" t="s">
        <v>723</v>
      </c>
      <c r="K78" s="2" t="n">
        <v>5</v>
      </c>
      <c r="L78" s="3" t="s">
        <v>736</v>
      </c>
      <c r="M78" s="2" t="s">
        <v>35</v>
      </c>
      <c r="N78" s="3" t="s">
        <v>737</v>
      </c>
      <c r="O78" s="2" t="n">
        <f aca="false">COUNTIF(Contacts!$B:$B,B78)</f>
        <v>1</v>
      </c>
      <c r="P78" s="4"/>
      <c r="Q78" s="4"/>
      <c r="R78" s="4"/>
      <c r="S78" s="4"/>
      <c r="T78" s="4"/>
      <c r="U78" s="4"/>
      <c r="V78" s="4"/>
      <c r="W78" s="4"/>
      <c r="X78" s="4"/>
      <c r="Y78" s="5"/>
    </row>
    <row r="79" customFormat="false" ht="35.05" hidden="false" customHeight="false" outlineLevel="0" collapsed="false">
      <c r="A79" s="2" t="n">
        <v>78</v>
      </c>
      <c r="B79" s="2" t="s">
        <v>738</v>
      </c>
      <c r="C79" s="2" t="s">
        <v>739</v>
      </c>
      <c r="D79" s="2" t="s">
        <v>27</v>
      </c>
      <c r="E79" s="2" t="s">
        <v>740</v>
      </c>
      <c r="F79" s="3" t="s">
        <v>741</v>
      </c>
      <c r="G79" s="2" t="s">
        <v>742</v>
      </c>
      <c r="H79" s="3" t="s">
        <v>743</v>
      </c>
      <c r="I79" s="3" t="s">
        <v>744</v>
      </c>
      <c r="J79" s="2" t="s">
        <v>745</v>
      </c>
      <c r="K79" s="2" t="n">
        <v>5</v>
      </c>
      <c r="L79" s="3" t="s">
        <v>746</v>
      </c>
      <c r="M79" s="2" t="s">
        <v>35</v>
      </c>
      <c r="N79" s="3"/>
      <c r="O79" s="2" t="n">
        <f aca="false">COUNTIF(Contacts!$B:$B,B79)</f>
        <v>0</v>
      </c>
      <c r="P79" s="4"/>
      <c r="Q79" s="4"/>
      <c r="R79" s="4"/>
      <c r="S79" s="4"/>
      <c r="T79" s="4"/>
      <c r="U79" s="4"/>
      <c r="V79" s="4"/>
      <c r="W79" s="4"/>
      <c r="X79" s="4"/>
      <c r="Y79" s="5"/>
    </row>
    <row r="80" customFormat="false" ht="35.05" hidden="false" customHeight="false" outlineLevel="0" collapsed="false">
      <c r="A80" s="2" t="n">
        <v>79</v>
      </c>
      <c r="B80" s="2" t="s">
        <v>747</v>
      </c>
      <c r="C80" s="2" t="s">
        <v>748</v>
      </c>
      <c r="D80" s="2" t="s">
        <v>27</v>
      </c>
      <c r="E80" s="2" t="s">
        <v>749</v>
      </c>
      <c r="F80" s="3" t="s">
        <v>750</v>
      </c>
      <c r="G80" s="2" t="s">
        <v>751</v>
      </c>
      <c r="H80" s="3" t="s">
        <v>752</v>
      </c>
      <c r="I80" s="3" t="s">
        <v>753</v>
      </c>
      <c r="J80" s="2" t="s">
        <v>698</v>
      </c>
      <c r="K80" s="2" t="n">
        <v>5</v>
      </c>
      <c r="L80" s="3" t="s">
        <v>754</v>
      </c>
      <c r="M80" s="2" t="s">
        <v>35</v>
      </c>
      <c r="N80" s="3"/>
      <c r="O80" s="2" t="n">
        <f aca="false">COUNTIF(Contacts!$B:$B,B80)</f>
        <v>0</v>
      </c>
      <c r="P80" s="4"/>
      <c r="Q80" s="4"/>
      <c r="R80" s="4"/>
      <c r="S80" s="4"/>
      <c r="T80" s="4"/>
      <c r="U80" s="4"/>
      <c r="V80" s="4"/>
      <c r="W80" s="4"/>
      <c r="X80" s="4"/>
      <c r="Y80" s="5"/>
    </row>
    <row r="81" customFormat="false" ht="35.05" hidden="false" customHeight="false" outlineLevel="0" collapsed="false">
      <c r="A81" s="2" t="n">
        <v>80</v>
      </c>
      <c r="B81" s="2" t="s">
        <v>755</v>
      </c>
      <c r="C81" s="2" t="s">
        <v>756</v>
      </c>
      <c r="D81" s="2" t="s">
        <v>27</v>
      </c>
      <c r="E81" s="2" t="s">
        <v>757</v>
      </c>
      <c r="F81" s="3" t="s">
        <v>758</v>
      </c>
      <c r="G81" s="2" t="s">
        <v>759</v>
      </c>
      <c r="H81" s="3" t="s">
        <v>760</v>
      </c>
      <c r="I81" s="3" t="s">
        <v>761</v>
      </c>
      <c r="J81" s="2" t="s">
        <v>723</v>
      </c>
      <c r="K81" s="2" t="n">
        <v>5</v>
      </c>
      <c r="L81" s="3" t="s">
        <v>762</v>
      </c>
      <c r="M81" s="2" t="s">
        <v>35</v>
      </c>
      <c r="N81" s="3"/>
      <c r="O81" s="2" t="n">
        <f aca="false">COUNTIF(Contacts!$B:$B,B81)</f>
        <v>0</v>
      </c>
      <c r="P81" s="4"/>
      <c r="Q81" s="4"/>
      <c r="R81" s="4"/>
      <c r="S81" s="4"/>
      <c r="T81" s="4"/>
      <c r="U81" s="4"/>
      <c r="V81" s="4"/>
      <c r="W81" s="4"/>
      <c r="X81" s="4"/>
      <c r="Y81" s="5"/>
    </row>
    <row r="82" customFormat="false" ht="46.25" hidden="false" customHeight="false" outlineLevel="0" collapsed="false">
      <c r="A82" s="2" t="n">
        <v>81</v>
      </c>
      <c r="B82" s="2" t="s">
        <v>763</v>
      </c>
      <c r="C82" s="2" t="s">
        <v>764</v>
      </c>
      <c r="D82" s="2" t="s">
        <v>27</v>
      </c>
      <c r="E82" s="2" t="s">
        <v>765</v>
      </c>
      <c r="F82" s="3" t="s">
        <v>766</v>
      </c>
      <c r="G82" s="2" t="s">
        <v>767</v>
      </c>
      <c r="H82" s="3" t="s">
        <v>768</v>
      </c>
      <c r="I82" s="3" t="s">
        <v>769</v>
      </c>
      <c r="J82" s="2" t="s">
        <v>661</v>
      </c>
      <c r="K82" s="2" t="n">
        <v>5</v>
      </c>
      <c r="L82" s="3" t="s">
        <v>770</v>
      </c>
      <c r="M82" s="2" t="s">
        <v>35</v>
      </c>
      <c r="N82" s="3" t="s">
        <v>771</v>
      </c>
      <c r="O82" s="2" t="n">
        <f aca="false">COUNTIF(Contacts!$B:$B,B82)</f>
        <v>1</v>
      </c>
      <c r="P82" s="4"/>
      <c r="Q82" s="4"/>
      <c r="R82" s="4"/>
      <c r="S82" s="4"/>
      <c r="T82" s="4"/>
      <c r="U82" s="4"/>
      <c r="V82" s="4"/>
      <c r="W82" s="4"/>
      <c r="X82" s="4"/>
      <c r="Y82" s="5"/>
    </row>
    <row r="83" customFormat="false" ht="57.45" hidden="false" customHeight="false" outlineLevel="0" collapsed="false">
      <c r="A83" s="2" t="n">
        <v>82</v>
      </c>
      <c r="B83" s="2" t="s">
        <v>772</v>
      </c>
      <c r="C83" s="2" t="s">
        <v>773</v>
      </c>
      <c r="D83" s="2" t="s">
        <v>27</v>
      </c>
      <c r="E83" s="2" t="s">
        <v>774</v>
      </c>
      <c r="F83" s="3" t="s">
        <v>775</v>
      </c>
      <c r="G83" s="2" t="s">
        <v>776</v>
      </c>
      <c r="H83" s="3" t="s">
        <v>777</v>
      </c>
      <c r="I83" s="3" t="s">
        <v>778</v>
      </c>
      <c r="J83" s="2" t="s">
        <v>661</v>
      </c>
      <c r="K83" s="2" t="n">
        <v>5</v>
      </c>
      <c r="L83" s="3" t="s">
        <v>779</v>
      </c>
      <c r="M83" s="2" t="s">
        <v>35</v>
      </c>
      <c r="N83" s="3" t="s">
        <v>780</v>
      </c>
      <c r="O83" s="2" t="n">
        <f aca="false">COUNTIF(Contacts!$B:$B,B83)</f>
        <v>1</v>
      </c>
      <c r="P83" s="4"/>
      <c r="Q83" s="4"/>
      <c r="R83" s="4"/>
      <c r="S83" s="4"/>
      <c r="T83" s="4"/>
      <c r="U83" s="4"/>
      <c r="V83" s="4"/>
      <c r="W83" s="4"/>
      <c r="X83" s="4"/>
      <c r="Y83" s="5"/>
    </row>
    <row r="84" customFormat="false" ht="35.05" hidden="false" customHeight="false" outlineLevel="0" collapsed="false">
      <c r="A84" s="2" t="n">
        <v>83</v>
      </c>
      <c r="B84" s="2" t="s">
        <v>781</v>
      </c>
      <c r="C84" s="2" t="s">
        <v>782</v>
      </c>
      <c r="D84" s="2" t="s">
        <v>27</v>
      </c>
      <c r="E84" s="2" t="s">
        <v>783</v>
      </c>
      <c r="F84" s="3" t="s">
        <v>784</v>
      </c>
      <c r="G84" s="2" t="s">
        <v>785</v>
      </c>
      <c r="H84" s="3" t="s">
        <v>786</v>
      </c>
      <c r="I84" s="3" t="s">
        <v>787</v>
      </c>
      <c r="J84" s="2" t="s">
        <v>723</v>
      </c>
      <c r="K84" s="2" t="n">
        <v>5</v>
      </c>
      <c r="L84" s="3" t="s">
        <v>788</v>
      </c>
      <c r="M84" s="2" t="s">
        <v>35</v>
      </c>
      <c r="N84" s="3"/>
      <c r="O84" s="2" t="n">
        <f aca="false">COUNTIF(Contacts!$B:$B,B84)</f>
        <v>0</v>
      </c>
      <c r="P84" s="4"/>
      <c r="Q84" s="4"/>
      <c r="R84" s="4"/>
      <c r="S84" s="4"/>
      <c r="T84" s="4"/>
      <c r="U84" s="4"/>
      <c r="V84" s="4"/>
      <c r="W84" s="4"/>
      <c r="X84" s="4"/>
      <c r="Y84" s="5"/>
    </row>
    <row r="85" customFormat="false" ht="35.05" hidden="false" customHeight="false" outlineLevel="0" collapsed="false">
      <c r="A85" s="2" t="n">
        <v>84</v>
      </c>
      <c r="B85" s="2" t="s">
        <v>789</v>
      </c>
      <c r="C85" s="2" t="s">
        <v>790</v>
      </c>
      <c r="D85" s="2" t="s">
        <v>27</v>
      </c>
      <c r="E85" s="2" t="s">
        <v>791</v>
      </c>
      <c r="F85" s="3" t="s">
        <v>792</v>
      </c>
      <c r="G85" s="2" t="s">
        <v>793</v>
      </c>
      <c r="H85" s="3" t="s">
        <v>794</v>
      </c>
      <c r="I85" s="3" t="s">
        <v>787</v>
      </c>
      <c r="J85" s="2" t="s">
        <v>723</v>
      </c>
      <c r="K85" s="2" t="n">
        <v>5</v>
      </c>
      <c r="L85" s="3" t="s">
        <v>795</v>
      </c>
      <c r="M85" s="2" t="s">
        <v>35</v>
      </c>
      <c r="N85" s="3" t="s">
        <v>796</v>
      </c>
      <c r="O85" s="2" t="n">
        <f aca="false">COUNTIF(Contacts!$B:$B,B85)</f>
        <v>1</v>
      </c>
      <c r="P85" s="4"/>
      <c r="Q85" s="4"/>
      <c r="R85" s="4"/>
      <c r="S85" s="4"/>
      <c r="T85" s="4"/>
      <c r="U85" s="4"/>
      <c r="V85" s="4"/>
      <c r="W85" s="4"/>
      <c r="X85" s="4"/>
      <c r="Y85" s="5"/>
    </row>
    <row r="86" customFormat="false" ht="46.25" hidden="false" customHeight="false" outlineLevel="0" collapsed="false">
      <c r="A86" s="2" t="n">
        <v>85</v>
      </c>
      <c r="B86" s="2" t="s">
        <v>797</v>
      </c>
      <c r="C86" s="2" t="s">
        <v>798</v>
      </c>
      <c r="D86" s="2" t="s">
        <v>799</v>
      </c>
      <c r="E86" s="2" t="s">
        <v>571</v>
      </c>
      <c r="F86" s="3" t="s">
        <v>800</v>
      </c>
      <c r="G86" s="2" t="s">
        <v>801</v>
      </c>
      <c r="H86" s="3" t="s">
        <v>802</v>
      </c>
      <c r="I86" s="3" t="s">
        <v>803</v>
      </c>
      <c r="J86" s="2" t="s">
        <v>723</v>
      </c>
      <c r="K86" s="2" t="n">
        <v>5</v>
      </c>
      <c r="L86" s="3" t="s">
        <v>804</v>
      </c>
      <c r="M86" s="2" t="s">
        <v>35</v>
      </c>
      <c r="N86" s="3" t="s">
        <v>805</v>
      </c>
      <c r="O86" s="2" t="n">
        <f aca="false">COUNTIF(Contacts!$B:$B,B86)</f>
        <v>1</v>
      </c>
      <c r="P86" s="4"/>
      <c r="Q86" s="4"/>
      <c r="R86" s="4"/>
      <c r="S86" s="4"/>
      <c r="T86" s="4"/>
      <c r="U86" s="4"/>
      <c r="V86" s="4"/>
      <c r="W86" s="4"/>
      <c r="X86" s="4"/>
      <c r="Y86" s="5"/>
    </row>
    <row r="87" customFormat="false" ht="46.25" hidden="false" customHeight="false" outlineLevel="0" collapsed="false">
      <c r="A87" s="2" t="n">
        <v>86</v>
      </c>
      <c r="B87" s="2" t="s">
        <v>806</v>
      </c>
      <c r="C87" s="2" t="s">
        <v>807</v>
      </c>
      <c r="D87" s="2" t="s">
        <v>617</v>
      </c>
      <c r="E87" s="2" t="s">
        <v>808</v>
      </c>
      <c r="F87" s="3" t="s">
        <v>809</v>
      </c>
      <c r="G87" s="2" t="s">
        <v>810</v>
      </c>
      <c r="H87" s="3" t="s">
        <v>811</v>
      </c>
      <c r="I87" s="3" t="s">
        <v>380</v>
      </c>
      <c r="J87" s="2" t="s">
        <v>698</v>
      </c>
      <c r="K87" s="2" t="n">
        <v>5</v>
      </c>
      <c r="L87" s="3" t="s">
        <v>812</v>
      </c>
      <c r="M87" s="2" t="s">
        <v>35</v>
      </c>
      <c r="N87" s="3" t="s">
        <v>813</v>
      </c>
      <c r="O87" s="2" t="n">
        <f aca="false">COUNTIF(Contacts!$B:$B,B87)</f>
        <v>1</v>
      </c>
      <c r="P87" s="4"/>
      <c r="Q87" s="4"/>
      <c r="R87" s="4"/>
      <c r="S87" s="4"/>
      <c r="T87" s="4"/>
      <c r="U87" s="4"/>
      <c r="V87" s="4"/>
      <c r="W87" s="4"/>
      <c r="X87" s="4"/>
      <c r="Y87" s="5"/>
    </row>
    <row r="88" customFormat="false" ht="46.25" hidden="false" customHeight="false" outlineLevel="0" collapsed="false">
      <c r="A88" s="2" t="n">
        <v>87</v>
      </c>
      <c r="B88" s="2" t="s">
        <v>814</v>
      </c>
      <c r="C88" s="2" t="s">
        <v>815</v>
      </c>
      <c r="D88" s="2" t="s">
        <v>816</v>
      </c>
      <c r="E88" s="2" t="s">
        <v>817</v>
      </c>
      <c r="F88" s="3" t="s">
        <v>818</v>
      </c>
      <c r="G88" s="2" t="s">
        <v>819</v>
      </c>
      <c r="H88" s="3" t="s">
        <v>820</v>
      </c>
      <c r="I88" s="3" t="s">
        <v>380</v>
      </c>
      <c r="J88" s="2" t="s">
        <v>698</v>
      </c>
      <c r="K88" s="2" t="n">
        <v>5</v>
      </c>
      <c r="L88" s="3" t="s">
        <v>821</v>
      </c>
      <c r="M88" s="2" t="s">
        <v>35</v>
      </c>
      <c r="N88" s="3" t="s">
        <v>822</v>
      </c>
      <c r="O88" s="2" t="n">
        <f aca="false">COUNTIF(Contacts!$B:$B,B88)</f>
        <v>1</v>
      </c>
      <c r="P88" s="4"/>
      <c r="Q88" s="4"/>
      <c r="R88" s="4"/>
      <c r="S88" s="4"/>
      <c r="T88" s="4"/>
      <c r="U88" s="4"/>
      <c r="V88" s="4"/>
      <c r="W88" s="4"/>
      <c r="X88" s="4"/>
      <c r="Y88" s="5"/>
    </row>
    <row r="89" customFormat="false" ht="46.25" hidden="false" customHeight="false" outlineLevel="0" collapsed="false">
      <c r="A89" s="2" t="n">
        <v>88</v>
      </c>
      <c r="B89" s="2" t="s">
        <v>823</v>
      </c>
      <c r="C89" s="2" t="s">
        <v>824</v>
      </c>
      <c r="D89" s="2" t="s">
        <v>27</v>
      </c>
      <c r="E89" s="2" t="s">
        <v>825</v>
      </c>
      <c r="F89" s="3" t="s">
        <v>826</v>
      </c>
      <c r="G89" s="2" t="s">
        <v>827</v>
      </c>
      <c r="H89" s="3" t="s">
        <v>828</v>
      </c>
      <c r="I89" s="3" t="s">
        <v>380</v>
      </c>
      <c r="J89" s="2" t="s">
        <v>745</v>
      </c>
      <c r="K89" s="2" t="n">
        <v>5</v>
      </c>
      <c r="L89" s="3" t="s">
        <v>829</v>
      </c>
      <c r="M89" s="2" t="s">
        <v>35</v>
      </c>
      <c r="N89" s="3" t="s">
        <v>830</v>
      </c>
      <c r="O89" s="2" t="n">
        <f aca="false">COUNTIF(Contacts!$B:$B,B89)</f>
        <v>1</v>
      </c>
      <c r="P89" s="4"/>
      <c r="Q89" s="4"/>
      <c r="R89" s="4"/>
      <c r="S89" s="4"/>
      <c r="T89" s="4"/>
      <c r="U89" s="4"/>
      <c r="V89" s="4"/>
      <c r="W89" s="4"/>
      <c r="X89" s="4"/>
      <c r="Y89" s="5"/>
    </row>
    <row r="90" customFormat="false" ht="46.25" hidden="false" customHeight="false" outlineLevel="0" collapsed="false">
      <c r="A90" s="2" t="n">
        <v>89</v>
      </c>
      <c r="B90" s="2" t="s">
        <v>831</v>
      </c>
      <c r="C90" s="2" t="s">
        <v>832</v>
      </c>
      <c r="D90" s="2" t="s">
        <v>27</v>
      </c>
      <c r="E90" s="2" t="s">
        <v>833</v>
      </c>
      <c r="F90" s="3" t="s">
        <v>834</v>
      </c>
      <c r="G90" s="2" t="s">
        <v>835</v>
      </c>
      <c r="H90" s="3" t="s">
        <v>836</v>
      </c>
      <c r="I90" s="3" t="s">
        <v>837</v>
      </c>
      <c r="J90" s="2" t="s">
        <v>838</v>
      </c>
      <c r="K90" s="2" t="n">
        <v>5</v>
      </c>
      <c r="L90" s="3" t="s">
        <v>839</v>
      </c>
      <c r="M90" s="2" t="s">
        <v>35</v>
      </c>
      <c r="N90" s="3"/>
      <c r="O90" s="2" t="n">
        <f aca="false">COUNTIF(Contacts!$B:$B,B90)</f>
        <v>0</v>
      </c>
      <c r="P90" s="4"/>
      <c r="Q90" s="4"/>
      <c r="R90" s="4"/>
      <c r="S90" s="4"/>
      <c r="T90" s="4"/>
      <c r="U90" s="4"/>
      <c r="V90" s="4"/>
      <c r="W90" s="4"/>
      <c r="X90" s="4"/>
      <c r="Y90" s="5"/>
    </row>
    <row r="91" customFormat="false" ht="35.05" hidden="false" customHeight="false" outlineLevel="0" collapsed="false">
      <c r="A91" s="2" t="n">
        <v>90</v>
      </c>
      <c r="B91" s="2" t="s">
        <v>840</v>
      </c>
      <c r="C91" s="2" t="s">
        <v>841</v>
      </c>
      <c r="D91" s="2" t="s">
        <v>27</v>
      </c>
      <c r="E91" s="2" t="s">
        <v>842</v>
      </c>
      <c r="F91" s="3" t="s">
        <v>843</v>
      </c>
      <c r="G91" s="2" t="s">
        <v>844</v>
      </c>
      <c r="H91" s="3" t="s">
        <v>845</v>
      </c>
      <c r="I91" s="3" t="s">
        <v>846</v>
      </c>
      <c r="J91" s="2" t="s">
        <v>847</v>
      </c>
      <c r="K91" s="2" t="n">
        <v>5</v>
      </c>
      <c r="L91" s="3" t="s">
        <v>848</v>
      </c>
      <c r="M91" s="2" t="s">
        <v>35</v>
      </c>
      <c r="N91" s="3" t="s">
        <v>849</v>
      </c>
      <c r="O91" s="2" t="n">
        <f aca="false">COUNTIF(Contacts!$B:$B,B91)</f>
        <v>1</v>
      </c>
      <c r="P91" s="4"/>
      <c r="Q91" s="4"/>
      <c r="R91" s="4"/>
      <c r="S91" s="4"/>
      <c r="T91" s="4"/>
      <c r="U91" s="4"/>
      <c r="V91" s="4"/>
      <c r="W91" s="4"/>
      <c r="X91" s="4"/>
      <c r="Y91" s="5"/>
    </row>
    <row r="92" customFormat="false" ht="46.25" hidden="false" customHeight="false" outlineLevel="0" collapsed="false">
      <c r="A92" s="2" t="n">
        <v>91</v>
      </c>
      <c r="B92" s="2" t="s">
        <v>850</v>
      </c>
      <c r="C92" s="2" t="s">
        <v>851</v>
      </c>
      <c r="D92" s="2" t="s">
        <v>27</v>
      </c>
      <c r="E92" s="2" t="s">
        <v>852</v>
      </c>
      <c r="F92" s="3" t="s">
        <v>853</v>
      </c>
      <c r="G92" s="2" t="s">
        <v>854</v>
      </c>
      <c r="H92" s="3" t="s">
        <v>855</v>
      </c>
      <c r="I92" s="3" t="s">
        <v>380</v>
      </c>
      <c r="J92" s="2" t="s">
        <v>856</v>
      </c>
      <c r="K92" s="2" t="n">
        <v>4</v>
      </c>
      <c r="L92" s="3" t="s">
        <v>857</v>
      </c>
      <c r="M92" s="2" t="s">
        <v>35</v>
      </c>
      <c r="N92" s="3"/>
      <c r="O92" s="2" t="n">
        <f aca="false">COUNTIF(Contacts!$B:$B,B92)</f>
        <v>0</v>
      </c>
      <c r="P92" s="4"/>
      <c r="Q92" s="4"/>
      <c r="R92" s="4"/>
      <c r="S92" s="4"/>
      <c r="T92" s="4"/>
      <c r="U92" s="4"/>
      <c r="V92" s="4"/>
      <c r="W92" s="4"/>
      <c r="X92" s="4"/>
      <c r="Y92" s="5"/>
    </row>
    <row r="93" customFormat="false" ht="35.05" hidden="false" customHeight="false" outlineLevel="0" collapsed="false">
      <c r="A93" s="2" t="n">
        <v>92</v>
      </c>
      <c r="B93" s="2" t="s">
        <v>858</v>
      </c>
      <c r="C93" s="2" t="s">
        <v>859</v>
      </c>
      <c r="D93" s="2" t="s">
        <v>561</v>
      </c>
      <c r="E93" s="2" t="s">
        <v>852</v>
      </c>
      <c r="F93" s="3" t="s">
        <v>860</v>
      </c>
      <c r="G93" s="2" t="s">
        <v>861</v>
      </c>
      <c r="H93" s="3" t="s">
        <v>862</v>
      </c>
      <c r="I93" s="3" t="s">
        <v>380</v>
      </c>
      <c r="J93" s="2" t="s">
        <v>856</v>
      </c>
      <c r="K93" s="2" t="n">
        <v>4</v>
      </c>
      <c r="L93" s="3" t="s">
        <v>863</v>
      </c>
      <c r="M93" s="2" t="s">
        <v>35</v>
      </c>
      <c r="N93" s="3" t="s">
        <v>864</v>
      </c>
      <c r="O93" s="2" t="n">
        <f aca="false">COUNTIF(Contacts!$B:$B,B93)</f>
        <v>1</v>
      </c>
      <c r="P93" s="4"/>
      <c r="Q93" s="4"/>
      <c r="R93" s="4"/>
      <c r="S93" s="4"/>
      <c r="T93" s="4"/>
      <c r="U93" s="4"/>
      <c r="V93" s="4"/>
      <c r="W93" s="4"/>
      <c r="X93" s="4"/>
      <c r="Y93" s="5"/>
    </row>
    <row r="94" customFormat="false" ht="35.05" hidden="false" customHeight="false" outlineLevel="0" collapsed="false">
      <c r="A94" s="2" t="n">
        <v>93</v>
      </c>
      <c r="B94" s="2" t="s">
        <v>865</v>
      </c>
      <c r="C94" s="2" t="s">
        <v>866</v>
      </c>
      <c r="D94" s="2" t="s">
        <v>27</v>
      </c>
      <c r="E94" s="2" t="s">
        <v>852</v>
      </c>
      <c r="F94" s="3" t="s">
        <v>867</v>
      </c>
      <c r="G94" s="2" t="s">
        <v>868</v>
      </c>
      <c r="H94" s="3" t="s">
        <v>869</v>
      </c>
      <c r="I94" s="3" t="s">
        <v>380</v>
      </c>
      <c r="J94" s="2" t="s">
        <v>856</v>
      </c>
      <c r="K94" s="2" t="n">
        <v>4</v>
      </c>
      <c r="L94" s="3" t="s">
        <v>870</v>
      </c>
      <c r="M94" s="2" t="s">
        <v>35</v>
      </c>
      <c r="N94" s="3" t="s">
        <v>871</v>
      </c>
      <c r="O94" s="2" t="n">
        <f aca="false">COUNTIF(Contacts!$B:$B,B94)</f>
        <v>1</v>
      </c>
      <c r="P94" s="4"/>
      <c r="Q94" s="4"/>
      <c r="R94" s="4"/>
      <c r="S94" s="4"/>
      <c r="T94" s="4"/>
      <c r="U94" s="4"/>
      <c r="V94" s="4"/>
      <c r="W94" s="4"/>
      <c r="X94" s="4"/>
      <c r="Y94" s="5"/>
    </row>
    <row r="95" customFormat="false" ht="35.05" hidden="false" customHeight="false" outlineLevel="0" collapsed="false">
      <c r="A95" s="2" t="n">
        <v>94</v>
      </c>
      <c r="B95" s="2" t="s">
        <v>872</v>
      </c>
      <c r="C95" s="2" t="s">
        <v>873</v>
      </c>
      <c r="D95" s="2" t="s">
        <v>27</v>
      </c>
      <c r="E95" s="2" t="s">
        <v>874</v>
      </c>
      <c r="F95" s="3" t="s">
        <v>875</v>
      </c>
      <c r="G95" s="2" t="s">
        <v>876</v>
      </c>
      <c r="H95" s="3" t="s">
        <v>877</v>
      </c>
      <c r="I95" s="3" t="s">
        <v>380</v>
      </c>
      <c r="J95" s="2" t="s">
        <v>856</v>
      </c>
      <c r="K95" s="2" t="n">
        <v>4</v>
      </c>
      <c r="L95" s="3" t="s">
        <v>878</v>
      </c>
      <c r="M95" s="2" t="s">
        <v>35</v>
      </c>
      <c r="N95" s="3" t="s">
        <v>879</v>
      </c>
      <c r="O95" s="2" t="n">
        <f aca="false">COUNTIF(Contacts!$B:$B,B95)</f>
        <v>1</v>
      </c>
      <c r="P95" s="4"/>
      <c r="Q95" s="4"/>
      <c r="R95" s="4"/>
      <c r="S95" s="4"/>
      <c r="T95" s="4"/>
      <c r="U95" s="4"/>
      <c r="V95" s="4"/>
      <c r="W95" s="4"/>
      <c r="X95" s="4"/>
      <c r="Y95" s="5"/>
    </row>
    <row r="96" customFormat="false" ht="46.25" hidden="false" customHeight="false" outlineLevel="0" collapsed="false">
      <c r="A96" s="2" t="n">
        <v>95</v>
      </c>
      <c r="B96" s="2" t="s">
        <v>880</v>
      </c>
      <c r="C96" s="2" t="s">
        <v>881</v>
      </c>
      <c r="D96" s="2" t="s">
        <v>27</v>
      </c>
      <c r="E96" s="2" t="s">
        <v>882</v>
      </c>
      <c r="F96" s="3" t="s">
        <v>883</v>
      </c>
      <c r="G96" s="2" t="s">
        <v>884</v>
      </c>
      <c r="H96" s="3" t="s">
        <v>885</v>
      </c>
      <c r="I96" s="3" t="s">
        <v>380</v>
      </c>
      <c r="J96" s="2" t="s">
        <v>856</v>
      </c>
      <c r="K96" s="2" t="n">
        <v>4</v>
      </c>
      <c r="L96" s="3" t="s">
        <v>886</v>
      </c>
      <c r="M96" s="2" t="s">
        <v>35</v>
      </c>
      <c r="N96" s="3" t="s">
        <v>887</v>
      </c>
      <c r="O96" s="2" t="n">
        <f aca="false">COUNTIF(Contacts!$B:$B,B96)</f>
        <v>1</v>
      </c>
      <c r="P96" s="4"/>
      <c r="Q96" s="4"/>
      <c r="R96" s="4"/>
      <c r="S96" s="4"/>
      <c r="T96" s="4"/>
      <c r="U96" s="4"/>
      <c r="V96" s="4"/>
      <c r="W96" s="4"/>
      <c r="X96" s="4"/>
      <c r="Y96" s="5"/>
    </row>
    <row r="97" customFormat="false" ht="35.05" hidden="false" customHeight="false" outlineLevel="0" collapsed="false">
      <c r="A97" s="2" t="n">
        <v>96</v>
      </c>
      <c r="B97" s="2" t="s">
        <v>888</v>
      </c>
      <c r="C97" s="2" t="s">
        <v>889</v>
      </c>
      <c r="D97" s="2" t="s">
        <v>27</v>
      </c>
      <c r="E97" s="2" t="s">
        <v>890</v>
      </c>
      <c r="F97" s="3" t="s">
        <v>891</v>
      </c>
      <c r="G97" s="2" t="s">
        <v>892</v>
      </c>
      <c r="H97" s="3" t="s">
        <v>893</v>
      </c>
      <c r="I97" s="3" t="s">
        <v>380</v>
      </c>
      <c r="J97" s="2" t="s">
        <v>856</v>
      </c>
      <c r="K97" s="2" t="n">
        <v>4</v>
      </c>
      <c r="L97" s="3" t="s">
        <v>894</v>
      </c>
      <c r="M97" s="2" t="s">
        <v>35</v>
      </c>
      <c r="N97" s="3" t="s">
        <v>895</v>
      </c>
      <c r="O97" s="2" t="n">
        <f aca="false">COUNTIF(Contacts!$B:$B,B97)</f>
        <v>1</v>
      </c>
      <c r="P97" s="4"/>
      <c r="Q97" s="4"/>
      <c r="R97" s="4"/>
      <c r="S97" s="4"/>
      <c r="T97" s="4"/>
      <c r="U97" s="4"/>
      <c r="V97" s="4"/>
      <c r="W97" s="4"/>
      <c r="X97" s="4"/>
      <c r="Y97" s="5"/>
    </row>
    <row r="98" customFormat="false" ht="35.05" hidden="false" customHeight="false" outlineLevel="0" collapsed="false">
      <c r="A98" s="2" t="n">
        <v>97</v>
      </c>
      <c r="B98" s="2" t="s">
        <v>896</v>
      </c>
      <c r="C98" s="2" t="s">
        <v>897</v>
      </c>
      <c r="D98" s="2" t="s">
        <v>27</v>
      </c>
      <c r="E98" s="2" t="s">
        <v>898</v>
      </c>
      <c r="F98" s="3" t="s">
        <v>899</v>
      </c>
      <c r="G98" s="2" t="s">
        <v>900</v>
      </c>
      <c r="H98" s="3" t="s">
        <v>901</v>
      </c>
      <c r="I98" s="3" t="s">
        <v>380</v>
      </c>
      <c r="J98" s="2" t="s">
        <v>856</v>
      </c>
      <c r="K98" s="2" t="n">
        <v>4</v>
      </c>
      <c r="L98" s="3" t="s">
        <v>902</v>
      </c>
      <c r="M98" s="2" t="s">
        <v>35</v>
      </c>
      <c r="N98" s="3" t="s">
        <v>903</v>
      </c>
      <c r="O98" s="2" t="n">
        <f aca="false">COUNTIF(Contacts!$B:$B,B98)</f>
        <v>1</v>
      </c>
      <c r="P98" s="4"/>
      <c r="Q98" s="4"/>
      <c r="R98" s="4"/>
      <c r="S98" s="4"/>
      <c r="T98" s="4"/>
      <c r="U98" s="4"/>
      <c r="V98" s="4"/>
      <c r="W98" s="4"/>
      <c r="X98" s="4"/>
      <c r="Y98" s="5"/>
    </row>
    <row r="99" customFormat="false" ht="46.25" hidden="false" customHeight="false" outlineLevel="0" collapsed="false">
      <c r="A99" s="2" t="n">
        <v>98</v>
      </c>
      <c r="B99" s="2" t="s">
        <v>904</v>
      </c>
      <c r="C99" s="2" t="s">
        <v>905</v>
      </c>
      <c r="D99" s="2" t="s">
        <v>175</v>
      </c>
      <c r="E99" s="2" t="s">
        <v>906</v>
      </c>
      <c r="F99" s="3" t="s">
        <v>907</v>
      </c>
      <c r="G99" s="2" t="s">
        <v>908</v>
      </c>
      <c r="H99" s="3" t="s">
        <v>909</v>
      </c>
      <c r="I99" s="3" t="s">
        <v>380</v>
      </c>
      <c r="J99" s="2" t="s">
        <v>856</v>
      </c>
      <c r="K99" s="2" t="n">
        <v>4</v>
      </c>
      <c r="L99" s="3" t="s">
        <v>910</v>
      </c>
      <c r="M99" s="2" t="s">
        <v>35</v>
      </c>
      <c r="N99" s="3" t="s">
        <v>911</v>
      </c>
      <c r="O99" s="2" t="n">
        <f aca="false">COUNTIF(Contacts!$B:$B,B99)</f>
        <v>1</v>
      </c>
      <c r="P99" s="4"/>
      <c r="Q99" s="4"/>
      <c r="R99" s="4"/>
      <c r="S99" s="4"/>
      <c r="T99" s="4"/>
      <c r="U99" s="4"/>
      <c r="V99" s="4"/>
      <c r="W99" s="4"/>
      <c r="X99" s="4"/>
      <c r="Y99" s="5"/>
    </row>
    <row r="100" customFormat="false" ht="46.25" hidden="false" customHeight="false" outlineLevel="0" collapsed="false">
      <c r="A100" s="2" t="n">
        <v>99</v>
      </c>
      <c r="B100" s="2" t="s">
        <v>912</v>
      </c>
      <c r="C100" s="2" t="s">
        <v>913</v>
      </c>
      <c r="D100" s="2" t="s">
        <v>914</v>
      </c>
      <c r="E100" s="2" t="s">
        <v>915</v>
      </c>
      <c r="F100" s="3" t="s">
        <v>916</v>
      </c>
      <c r="G100" s="2" t="s">
        <v>917</v>
      </c>
      <c r="H100" s="3" t="s">
        <v>918</v>
      </c>
      <c r="I100" s="3" t="s">
        <v>380</v>
      </c>
      <c r="J100" s="2" t="s">
        <v>856</v>
      </c>
      <c r="K100" s="2" t="n">
        <v>4</v>
      </c>
      <c r="L100" s="3" t="s">
        <v>919</v>
      </c>
      <c r="M100" s="2" t="s">
        <v>35</v>
      </c>
      <c r="N100" s="3" t="s">
        <v>920</v>
      </c>
      <c r="O100" s="2" t="n">
        <f aca="false">COUNTIF(Contacts!$B:$B,B100)</f>
        <v>1</v>
      </c>
      <c r="P100" s="4"/>
      <c r="Q100" s="4"/>
      <c r="R100" s="4"/>
      <c r="S100" s="4"/>
      <c r="T100" s="4"/>
      <c r="U100" s="4"/>
      <c r="V100" s="4"/>
      <c r="W100" s="4"/>
      <c r="X100" s="4"/>
      <c r="Y100" s="5"/>
    </row>
    <row r="101" customFormat="false" ht="46.25" hidden="false" customHeight="false" outlineLevel="0" collapsed="false">
      <c r="A101" s="2" t="n">
        <v>100</v>
      </c>
      <c r="B101" s="2" t="s">
        <v>921</v>
      </c>
      <c r="C101" s="2" t="s">
        <v>922</v>
      </c>
      <c r="D101" s="2" t="s">
        <v>561</v>
      </c>
      <c r="E101" s="2" t="s">
        <v>923</v>
      </c>
      <c r="F101" s="3" t="s">
        <v>924</v>
      </c>
      <c r="G101" s="2" t="s">
        <v>925</v>
      </c>
      <c r="H101" s="3" t="s">
        <v>926</v>
      </c>
      <c r="I101" s="3" t="s">
        <v>927</v>
      </c>
      <c r="J101" s="2" t="s">
        <v>856</v>
      </c>
      <c r="K101" s="2" t="n">
        <v>4</v>
      </c>
      <c r="L101" s="3" t="s">
        <v>928</v>
      </c>
      <c r="M101" s="2" t="s">
        <v>35</v>
      </c>
      <c r="N101" s="3" t="s">
        <v>929</v>
      </c>
      <c r="O101" s="2" t="n">
        <f aca="false">COUNTIF(Contacts!$B:$B,B101)</f>
        <v>1</v>
      </c>
      <c r="P101" s="4"/>
      <c r="Q101" s="4"/>
      <c r="R101" s="4"/>
      <c r="S101" s="4"/>
      <c r="T101" s="4"/>
      <c r="U101" s="4"/>
      <c r="V101" s="4"/>
      <c r="W101" s="4"/>
      <c r="X101" s="4"/>
      <c r="Y101" s="5"/>
    </row>
    <row r="102" customFormat="false" ht="35.05" hidden="false" customHeight="false" outlineLevel="0" collapsed="false">
      <c r="A102" s="2" t="n">
        <v>101</v>
      </c>
      <c r="B102" s="2" t="s">
        <v>930</v>
      </c>
      <c r="C102" s="2" t="s">
        <v>931</v>
      </c>
      <c r="D102" s="2" t="s">
        <v>27</v>
      </c>
      <c r="E102" s="2" t="s">
        <v>932</v>
      </c>
      <c r="F102" s="3" t="s">
        <v>933</v>
      </c>
      <c r="G102" s="2" t="s">
        <v>934</v>
      </c>
      <c r="H102" s="3" t="s">
        <v>935</v>
      </c>
      <c r="I102" s="3" t="s">
        <v>936</v>
      </c>
      <c r="J102" s="2" t="s">
        <v>937</v>
      </c>
      <c r="K102" s="2" t="n">
        <v>4</v>
      </c>
      <c r="L102" s="3" t="s">
        <v>938</v>
      </c>
      <c r="M102" s="2" t="s">
        <v>939</v>
      </c>
      <c r="N102" s="3" t="s">
        <v>940</v>
      </c>
      <c r="O102" s="2" t="n">
        <f aca="false">COUNTIF(Contacts!$B:$B,B102)</f>
        <v>1</v>
      </c>
      <c r="P102" s="4"/>
      <c r="Q102" s="4"/>
      <c r="R102" s="4"/>
      <c r="S102" s="4"/>
      <c r="T102" s="4"/>
      <c r="U102" s="4"/>
      <c r="V102" s="4"/>
      <c r="W102" s="4"/>
      <c r="X102" s="4"/>
      <c r="Y102" s="5"/>
    </row>
    <row r="103" customFormat="false" ht="35.05" hidden="false" customHeight="false" outlineLevel="0" collapsed="false">
      <c r="A103" s="2" t="n">
        <v>102</v>
      </c>
      <c r="B103" s="2" t="s">
        <v>941</v>
      </c>
      <c r="C103" s="2" t="s">
        <v>942</v>
      </c>
      <c r="D103" s="2" t="s">
        <v>943</v>
      </c>
      <c r="E103" s="2" t="s">
        <v>944</v>
      </c>
      <c r="F103" s="3" t="s">
        <v>945</v>
      </c>
      <c r="G103" s="2" t="s">
        <v>946</v>
      </c>
      <c r="H103" s="3" t="s">
        <v>947</v>
      </c>
      <c r="I103" s="3" t="s">
        <v>380</v>
      </c>
      <c r="J103" s="2" t="s">
        <v>856</v>
      </c>
      <c r="K103" s="2" t="n">
        <v>4</v>
      </c>
      <c r="L103" s="3" t="s">
        <v>948</v>
      </c>
      <c r="M103" s="2" t="s">
        <v>939</v>
      </c>
      <c r="N103" s="3"/>
      <c r="O103" s="2" t="n">
        <f aca="false">COUNTIF(Contacts!$B:$B,B103)</f>
        <v>0</v>
      </c>
      <c r="P103" s="4"/>
      <c r="Q103" s="4"/>
      <c r="R103" s="4"/>
      <c r="S103" s="4"/>
      <c r="T103" s="4"/>
      <c r="U103" s="4"/>
      <c r="V103" s="4"/>
      <c r="W103" s="4"/>
      <c r="X103" s="4"/>
      <c r="Y103" s="5"/>
    </row>
    <row r="104" customFormat="false" ht="35.05" hidden="false" customHeight="false" outlineLevel="0" collapsed="false">
      <c r="A104" s="2" t="n">
        <v>103</v>
      </c>
      <c r="B104" s="2" t="s">
        <v>949</v>
      </c>
      <c r="C104" s="2" t="s">
        <v>950</v>
      </c>
      <c r="D104" s="2" t="s">
        <v>27</v>
      </c>
      <c r="E104" s="2" t="s">
        <v>951</v>
      </c>
      <c r="F104" s="3" t="s">
        <v>952</v>
      </c>
      <c r="G104" s="2" t="s">
        <v>953</v>
      </c>
      <c r="H104" s="3" t="s">
        <v>954</v>
      </c>
      <c r="I104" s="3" t="s">
        <v>955</v>
      </c>
      <c r="J104" s="2" t="s">
        <v>937</v>
      </c>
      <c r="K104" s="2" t="n">
        <v>4</v>
      </c>
      <c r="L104" s="3" t="s">
        <v>956</v>
      </c>
      <c r="M104" s="2" t="s">
        <v>939</v>
      </c>
      <c r="N104" s="3"/>
      <c r="O104" s="2" t="n">
        <f aca="false">COUNTIF(Contacts!$B:$B,B104)</f>
        <v>0</v>
      </c>
      <c r="P104" s="4"/>
      <c r="Q104" s="4"/>
      <c r="R104" s="4"/>
      <c r="S104" s="4"/>
      <c r="T104" s="4"/>
      <c r="U104" s="4"/>
      <c r="V104" s="4"/>
      <c r="W104" s="4"/>
      <c r="X104" s="4"/>
      <c r="Y104" s="5"/>
    </row>
    <row r="105" customFormat="false" ht="35.05" hidden="false" customHeight="false" outlineLevel="0" collapsed="false">
      <c r="A105" s="2" t="n">
        <v>104</v>
      </c>
      <c r="B105" s="2" t="s">
        <v>957</v>
      </c>
      <c r="C105" s="2" t="s">
        <v>958</v>
      </c>
      <c r="D105" s="2" t="s">
        <v>27</v>
      </c>
      <c r="E105" s="2" t="s">
        <v>959</v>
      </c>
      <c r="F105" s="3" t="s">
        <v>960</v>
      </c>
      <c r="G105" s="2" t="s">
        <v>961</v>
      </c>
      <c r="H105" s="3" t="s">
        <v>962</v>
      </c>
      <c r="I105" s="3" t="s">
        <v>963</v>
      </c>
      <c r="J105" s="2" t="s">
        <v>937</v>
      </c>
      <c r="K105" s="2" t="n">
        <v>4</v>
      </c>
      <c r="L105" s="3" t="s">
        <v>964</v>
      </c>
      <c r="M105" s="2" t="s">
        <v>939</v>
      </c>
      <c r="N105" s="3" t="s">
        <v>965</v>
      </c>
      <c r="O105" s="2" t="n">
        <f aca="false">COUNTIF(Contacts!$B:$B,B105)</f>
        <v>1</v>
      </c>
      <c r="P105" s="4"/>
      <c r="Q105" s="4"/>
      <c r="R105" s="4"/>
      <c r="S105" s="4"/>
      <c r="T105" s="4"/>
      <c r="U105" s="4"/>
      <c r="V105" s="4"/>
      <c r="W105" s="4"/>
      <c r="X105" s="4"/>
      <c r="Y105" s="5"/>
    </row>
    <row r="106" customFormat="false" ht="35.05" hidden="false" customHeight="false" outlineLevel="0" collapsed="false">
      <c r="A106" s="2" t="n">
        <v>105</v>
      </c>
      <c r="B106" s="2" t="s">
        <v>966</v>
      </c>
      <c r="C106" s="2" t="s">
        <v>967</v>
      </c>
      <c r="D106" s="2" t="s">
        <v>646</v>
      </c>
      <c r="E106" s="2" t="s">
        <v>968</v>
      </c>
      <c r="F106" s="3" t="s">
        <v>969</v>
      </c>
      <c r="G106" s="2" t="s">
        <v>970</v>
      </c>
      <c r="H106" s="3" t="s">
        <v>971</v>
      </c>
      <c r="I106" s="3" t="s">
        <v>972</v>
      </c>
      <c r="J106" s="2" t="s">
        <v>937</v>
      </c>
      <c r="K106" s="2" t="n">
        <v>4</v>
      </c>
      <c r="L106" s="3" t="s">
        <v>973</v>
      </c>
      <c r="M106" s="2" t="s">
        <v>939</v>
      </c>
      <c r="N106" s="3"/>
      <c r="O106" s="2" t="n">
        <f aca="false">COUNTIF(Contacts!$B:$B,B106)</f>
        <v>0</v>
      </c>
      <c r="P106" s="4"/>
      <c r="Q106" s="4"/>
      <c r="R106" s="4"/>
      <c r="S106" s="4"/>
      <c r="T106" s="4"/>
      <c r="U106" s="4"/>
      <c r="V106" s="4"/>
      <c r="W106" s="4"/>
      <c r="X106" s="4"/>
      <c r="Y106" s="5"/>
    </row>
    <row r="107" customFormat="false" ht="46.25" hidden="false" customHeight="false" outlineLevel="0" collapsed="false">
      <c r="A107" s="2" t="n">
        <v>106</v>
      </c>
      <c r="B107" s="2" t="s">
        <v>974</v>
      </c>
      <c r="C107" s="2" t="s">
        <v>975</v>
      </c>
      <c r="D107" s="2" t="s">
        <v>27</v>
      </c>
      <c r="E107" s="2" t="s">
        <v>534</v>
      </c>
      <c r="F107" s="3" t="s">
        <v>976</v>
      </c>
      <c r="G107" s="2" t="s">
        <v>977</v>
      </c>
      <c r="H107" s="3" t="s">
        <v>978</v>
      </c>
      <c r="I107" s="3" t="s">
        <v>979</v>
      </c>
      <c r="J107" s="2" t="s">
        <v>937</v>
      </c>
      <c r="K107" s="2" t="n">
        <v>4</v>
      </c>
      <c r="L107" s="3" t="s">
        <v>980</v>
      </c>
      <c r="M107" s="2" t="s">
        <v>939</v>
      </c>
      <c r="N107" s="3"/>
      <c r="O107" s="2" t="n">
        <f aca="false">COUNTIF(Contacts!$B:$B,B107)</f>
        <v>0</v>
      </c>
      <c r="P107" s="4"/>
      <c r="Q107" s="4"/>
      <c r="R107" s="4"/>
      <c r="S107" s="4"/>
      <c r="T107" s="4"/>
      <c r="U107" s="4"/>
      <c r="V107" s="4"/>
      <c r="W107" s="4"/>
      <c r="X107" s="4"/>
      <c r="Y107" s="5"/>
    </row>
    <row r="108" customFormat="false" ht="46.25" hidden="false" customHeight="false" outlineLevel="0" collapsed="false">
      <c r="A108" s="2" t="n">
        <v>107</v>
      </c>
      <c r="B108" s="2" t="s">
        <v>981</v>
      </c>
      <c r="C108" s="2" t="s">
        <v>982</v>
      </c>
      <c r="D108" s="2" t="s">
        <v>27</v>
      </c>
      <c r="E108" s="2" t="s">
        <v>983</v>
      </c>
      <c r="F108" s="3" t="s">
        <v>984</v>
      </c>
      <c r="G108" s="2" t="s">
        <v>985</v>
      </c>
      <c r="H108" s="3" t="s">
        <v>986</v>
      </c>
      <c r="I108" s="3" t="s">
        <v>380</v>
      </c>
      <c r="J108" s="2" t="s">
        <v>856</v>
      </c>
      <c r="K108" s="2" t="n">
        <v>4</v>
      </c>
      <c r="L108" s="3" t="s">
        <v>987</v>
      </c>
      <c r="M108" s="2" t="s">
        <v>939</v>
      </c>
      <c r="N108" s="3" t="s">
        <v>988</v>
      </c>
      <c r="O108" s="2" t="n">
        <f aca="false">COUNTIF(Contacts!$B:$B,B108)</f>
        <v>1</v>
      </c>
      <c r="P108" s="4"/>
      <c r="Q108" s="4"/>
      <c r="R108" s="4"/>
      <c r="S108" s="4"/>
      <c r="T108" s="4"/>
      <c r="U108" s="4"/>
      <c r="V108" s="4"/>
      <c r="W108" s="4"/>
      <c r="X108" s="4"/>
      <c r="Y108" s="5"/>
    </row>
    <row r="109" customFormat="false" ht="46.25" hidden="false" customHeight="false" outlineLevel="0" collapsed="false">
      <c r="A109" s="2" t="n">
        <v>108</v>
      </c>
      <c r="B109" s="2" t="s">
        <v>989</v>
      </c>
      <c r="C109" s="2" t="s">
        <v>990</v>
      </c>
      <c r="D109" s="2" t="s">
        <v>991</v>
      </c>
      <c r="E109" s="2" t="s">
        <v>992</v>
      </c>
      <c r="F109" s="3" t="s">
        <v>993</v>
      </c>
      <c r="G109" s="2" t="s">
        <v>994</v>
      </c>
      <c r="H109" s="3" t="s">
        <v>995</v>
      </c>
      <c r="I109" s="3" t="s">
        <v>837</v>
      </c>
      <c r="J109" s="2" t="s">
        <v>856</v>
      </c>
      <c r="K109" s="2" t="n">
        <v>4</v>
      </c>
      <c r="L109" s="3" t="s">
        <v>996</v>
      </c>
      <c r="M109" s="2" t="s">
        <v>939</v>
      </c>
      <c r="N109" s="3"/>
      <c r="O109" s="2" t="n">
        <f aca="false">COUNTIF(Contacts!$B:$B,B109)</f>
        <v>0</v>
      </c>
      <c r="P109" s="4"/>
      <c r="Q109" s="4"/>
      <c r="R109" s="4"/>
      <c r="S109" s="4"/>
      <c r="T109" s="4"/>
      <c r="U109" s="4"/>
      <c r="V109" s="4"/>
      <c r="W109" s="4"/>
      <c r="X109" s="4"/>
      <c r="Y109" s="5"/>
    </row>
    <row r="110" customFormat="false" ht="46.25" hidden="false" customHeight="false" outlineLevel="0" collapsed="false">
      <c r="A110" s="2" t="n">
        <v>109</v>
      </c>
      <c r="B110" s="2" t="s">
        <v>997</v>
      </c>
      <c r="C110" s="2" t="s">
        <v>998</v>
      </c>
      <c r="D110" s="2" t="s">
        <v>27</v>
      </c>
      <c r="E110" s="2" t="s">
        <v>999</v>
      </c>
      <c r="F110" s="3" t="s">
        <v>1000</v>
      </c>
      <c r="G110" s="2" t="s">
        <v>1001</v>
      </c>
      <c r="H110" s="3" t="s">
        <v>1002</v>
      </c>
      <c r="I110" s="3" t="s">
        <v>1003</v>
      </c>
      <c r="J110" s="2" t="s">
        <v>856</v>
      </c>
      <c r="K110" s="2" t="n">
        <v>4</v>
      </c>
      <c r="L110" s="3" t="s">
        <v>1004</v>
      </c>
      <c r="M110" s="2" t="s">
        <v>939</v>
      </c>
      <c r="N110" s="3"/>
      <c r="O110" s="2" t="n">
        <f aca="false">COUNTIF(Contacts!$B:$B,B110)</f>
        <v>0</v>
      </c>
      <c r="P110" s="4"/>
      <c r="Q110" s="4"/>
      <c r="R110" s="4"/>
      <c r="S110" s="4"/>
      <c r="T110" s="4"/>
      <c r="U110" s="4"/>
      <c r="V110" s="4"/>
      <c r="W110" s="4"/>
      <c r="X110" s="4"/>
      <c r="Y110" s="5"/>
    </row>
    <row r="111" customFormat="false" ht="46.25" hidden="false" customHeight="false" outlineLevel="0" collapsed="false">
      <c r="A111" s="2" t="n">
        <v>110</v>
      </c>
      <c r="B111" s="2" t="s">
        <v>1005</v>
      </c>
      <c r="C111" s="2" t="s">
        <v>1006</v>
      </c>
      <c r="D111" s="2" t="s">
        <v>27</v>
      </c>
      <c r="E111" s="2" t="s">
        <v>1007</v>
      </c>
      <c r="F111" s="3" t="s">
        <v>1008</v>
      </c>
      <c r="G111" s="2" t="s">
        <v>1009</v>
      </c>
      <c r="H111" s="3" t="s">
        <v>1010</v>
      </c>
      <c r="I111" s="3" t="s">
        <v>837</v>
      </c>
      <c r="J111" s="2" t="s">
        <v>856</v>
      </c>
      <c r="K111" s="2" t="n">
        <v>4</v>
      </c>
      <c r="L111" s="3" t="s">
        <v>1011</v>
      </c>
      <c r="M111" s="2" t="s">
        <v>939</v>
      </c>
      <c r="N111" s="3"/>
      <c r="O111" s="2" t="n">
        <f aca="false">COUNTIF(Contacts!$B:$B,B111)</f>
        <v>0</v>
      </c>
      <c r="P111" s="4"/>
      <c r="Q111" s="4"/>
      <c r="R111" s="4"/>
      <c r="S111" s="4"/>
      <c r="T111" s="4"/>
      <c r="U111" s="4"/>
      <c r="V111" s="4"/>
      <c r="W111" s="4"/>
      <c r="X111" s="4"/>
      <c r="Y111" s="5"/>
    </row>
    <row r="112" customFormat="false" ht="35.05" hidden="false" customHeight="false" outlineLevel="0" collapsed="false">
      <c r="A112" s="2" t="n">
        <v>111</v>
      </c>
      <c r="B112" s="2" t="s">
        <v>1012</v>
      </c>
      <c r="C112" s="2" t="s">
        <v>1013</v>
      </c>
      <c r="D112" s="2" t="s">
        <v>27</v>
      </c>
      <c r="E112" s="2" t="s">
        <v>1014</v>
      </c>
      <c r="F112" s="3" t="s">
        <v>1015</v>
      </c>
      <c r="G112" s="2" t="s">
        <v>1016</v>
      </c>
      <c r="H112" s="3" t="s">
        <v>1017</v>
      </c>
      <c r="I112" s="3" t="s">
        <v>837</v>
      </c>
      <c r="J112" s="2" t="s">
        <v>856</v>
      </c>
      <c r="K112" s="2" t="n">
        <v>4</v>
      </c>
      <c r="L112" s="3" t="s">
        <v>1018</v>
      </c>
      <c r="M112" s="2" t="s">
        <v>939</v>
      </c>
      <c r="N112" s="3" t="s">
        <v>1019</v>
      </c>
      <c r="O112" s="2" t="n">
        <f aca="false">COUNTIF(Contacts!$B:$B,B112)</f>
        <v>1</v>
      </c>
      <c r="P112" s="4"/>
      <c r="Q112" s="4"/>
      <c r="R112" s="4"/>
      <c r="S112" s="4"/>
      <c r="T112" s="4"/>
      <c r="U112" s="4"/>
      <c r="V112" s="4"/>
      <c r="W112" s="4"/>
      <c r="X112" s="4"/>
      <c r="Y112" s="5"/>
    </row>
    <row r="113" customFormat="false" ht="91" hidden="false" customHeight="false" outlineLevel="0" collapsed="false">
      <c r="A113" s="2" t="n">
        <v>112</v>
      </c>
      <c r="B113" s="2" t="s">
        <v>1020</v>
      </c>
      <c r="C113" s="2" t="s">
        <v>1021</v>
      </c>
      <c r="D113" s="2" t="s">
        <v>1022</v>
      </c>
      <c r="E113" s="2" t="s">
        <v>313</v>
      </c>
      <c r="F113" s="3" t="s">
        <v>1023</v>
      </c>
      <c r="G113" s="2" t="s">
        <v>1024</v>
      </c>
      <c r="H113" s="3" t="s">
        <v>1025</v>
      </c>
      <c r="I113" s="3" t="s">
        <v>1026</v>
      </c>
      <c r="J113" s="2" t="s">
        <v>937</v>
      </c>
      <c r="K113" s="2" t="n">
        <v>4</v>
      </c>
      <c r="L113" s="3" t="s">
        <v>1027</v>
      </c>
      <c r="M113" s="2" t="s">
        <v>939</v>
      </c>
      <c r="N113" s="3" t="s">
        <v>1028</v>
      </c>
      <c r="O113" s="2" t="n">
        <f aca="false">COUNTIF(Contacts!$B:$B,B113)</f>
        <v>1</v>
      </c>
      <c r="P113" s="4"/>
      <c r="Q113" s="4"/>
      <c r="R113" s="4"/>
      <c r="S113" s="4"/>
      <c r="T113" s="4"/>
      <c r="U113" s="4"/>
      <c r="V113" s="4"/>
      <c r="W113" s="4"/>
      <c r="X113" s="4"/>
      <c r="Y113" s="5"/>
    </row>
    <row r="114" customFormat="false" ht="35.05" hidden="false" customHeight="false" outlineLevel="0" collapsed="false">
      <c r="A114" s="2" t="n">
        <v>113</v>
      </c>
      <c r="B114" s="2" t="s">
        <v>1029</v>
      </c>
      <c r="C114" s="2" t="s">
        <v>1030</v>
      </c>
      <c r="D114" s="2" t="s">
        <v>1031</v>
      </c>
      <c r="E114" s="2" t="s">
        <v>1032</v>
      </c>
      <c r="F114" s="3" t="s">
        <v>1033</v>
      </c>
      <c r="G114" s="2" t="s">
        <v>1034</v>
      </c>
      <c r="H114" s="3" t="s">
        <v>1035</v>
      </c>
      <c r="I114" s="3" t="s">
        <v>1036</v>
      </c>
      <c r="J114" s="2" t="s">
        <v>937</v>
      </c>
      <c r="K114" s="2" t="n">
        <v>4</v>
      </c>
      <c r="L114" s="3" t="s">
        <v>1037</v>
      </c>
      <c r="M114" s="2" t="s">
        <v>939</v>
      </c>
      <c r="N114" s="3" t="s">
        <v>1038</v>
      </c>
      <c r="O114" s="2" t="n">
        <f aca="false">COUNTIF(Contacts!$B:$B,B114)</f>
        <v>1</v>
      </c>
      <c r="P114" s="4"/>
      <c r="Q114" s="4"/>
      <c r="R114" s="4"/>
      <c r="S114" s="4"/>
      <c r="T114" s="4"/>
      <c r="U114" s="4"/>
      <c r="V114" s="4"/>
      <c r="W114" s="4"/>
      <c r="X114" s="4"/>
      <c r="Y114" s="5"/>
    </row>
    <row r="115" customFormat="false" ht="35.05" hidden="false" customHeight="false" outlineLevel="0" collapsed="false">
      <c r="A115" s="2" t="n">
        <v>114</v>
      </c>
      <c r="B115" s="2" t="s">
        <v>1039</v>
      </c>
      <c r="C115" s="2" t="s">
        <v>1040</v>
      </c>
      <c r="D115" s="2" t="s">
        <v>370</v>
      </c>
      <c r="E115" s="2" t="s">
        <v>1041</v>
      </c>
      <c r="F115" s="3" t="s">
        <v>1042</v>
      </c>
      <c r="G115" s="2" t="s">
        <v>1043</v>
      </c>
      <c r="H115" s="3" t="s">
        <v>1044</v>
      </c>
      <c r="I115" s="3" t="s">
        <v>1045</v>
      </c>
      <c r="J115" s="2" t="s">
        <v>1046</v>
      </c>
      <c r="K115" s="2" t="n">
        <v>4</v>
      </c>
      <c r="L115" s="3" t="s">
        <v>1047</v>
      </c>
      <c r="M115" s="2" t="s">
        <v>939</v>
      </c>
      <c r="N115" s="3" t="s">
        <v>1048</v>
      </c>
      <c r="O115" s="2" t="n">
        <f aca="false">COUNTIF(Contacts!$B:$B,B115)</f>
        <v>1</v>
      </c>
      <c r="P115" s="4"/>
      <c r="Q115" s="4"/>
      <c r="R115" s="4"/>
      <c r="S115" s="4"/>
      <c r="T115" s="4"/>
      <c r="U115" s="4"/>
      <c r="V115" s="4"/>
      <c r="W115" s="4"/>
      <c r="X115" s="4"/>
      <c r="Y115" s="5"/>
    </row>
  </sheetData>
  <autoFilter ref="A1:Y1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8"/>
    <col collapsed="false" customWidth="true" hidden="false" outlineLevel="0" max="4" min="4" style="0" width="12"/>
    <col collapsed="false" customWidth="true" hidden="false" outlineLevel="0" max="5" min="5" style="0" width="24"/>
    <col collapsed="false" customWidth="true" hidden="false" outlineLevel="0" max="6" min="6" style="0" width="40"/>
    <col collapsed="false" customWidth="true" hidden="false" outlineLevel="0" max="7" min="7" style="0" width="30"/>
    <col collapsed="false" customWidth="true" hidden="false" outlineLevel="0" max="8" min="8" style="0" width="60"/>
    <col collapsed="false" customWidth="true" hidden="false" outlineLevel="0" max="9" min="9" style="0" width="44"/>
    <col collapsed="false" customWidth="true" hidden="false" outlineLevel="0" max="10" min="10" style="0" width="11"/>
    <col collapsed="false" customWidth="true" hidden="false" outlineLevel="0" max="11" min="11" style="0" width="7"/>
    <col collapsed="false" customWidth="true" hidden="false" outlineLevel="0" max="12" min="12" style="0" width="60"/>
    <col collapsed="false" customWidth="true" hidden="false" outlineLevel="0" max="13" min="13" style="0" width="40"/>
    <col collapsed="false" customWidth="true" hidden="false" outlineLevel="0" max="14" min="14" style="0" width="9"/>
    <col collapsed="false" customWidth="true" hidden="false" outlineLevel="0" max="15" min="15" style="0" width="11"/>
    <col collapsed="false" customWidth="true" hidden="false" outlineLevel="0" max="16" min="16" style="0" width="24"/>
    <col collapsed="false" customWidth="true" hidden="false" outlineLevel="0" max="19" min="17" style="0" width="12"/>
    <col collapsed="false" customWidth="true" hidden="false" outlineLevel="0" max="20" min="20" style="0" width="8"/>
    <col collapsed="false" customWidth="true" hidden="false" outlineLevel="0" max="22" min="21" style="0" width="12"/>
    <col collapsed="false" customWidth="true" hidden="false" outlineLevel="0" max="23" min="23" style="0" width="20"/>
    <col collapsed="false" customWidth="true" hidden="false" outlineLevel="0" max="24" min="24" style="0" width="36"/>
  </cols>
  <sheetData>
    <row r="1" customFormat="false" ht="15" hidden="false" customHeight="false" outlineLevel="0" collapsed="false">
      <c r="A1" s="1" t="s">
        <v>0</v>
      </c>
      <c r="B1" s="1" t="s">
        <v>1</v>
      </c>
      <c r="C1" s="1" t="s">
        <v>2</v>
      </c>
      <c r="D1" s="1" t="s">
        <v>3</v>
      </c>
      <c r="E1" s="1" t="s">
        <v>1049</v>
      </c>
      <c r="F1" s="1" t="s">
        <v>1050</v>
      </c>
      <c r="G1" s="1" t="s">
        <v>6</v>
      </c>
      <c r="H1" s="1" t="s">
        <v>1051</v>
      </c>
      <c r="I1" s="1" t="s">
        <v>1052</v>
      </c>
      <c r="J1" s="1" t="s">
        <v>9</v>
      </c>
      <c r="K1" s="1" t="s">
        <v>10</v>
      </c>
      <c r="L1" s="1" t="s">
        <v>1053</v>
      </c>
      <c r="M1" s="1" t="s">
        <v>13</v>
      </c>
      <c r="N1" s="1" t="s">
        <v>14</v>
      </c>
      <c r="O1" s="1" t="s">
        <v>15</v>
      </c>
      <c r="P1" s="1" t="s">
        <v>16</v>
      </c>
      <c r="Q1" s="1" t="s">
        <v>17</v>
      </c>
      <c r="R1" s="1" t="s">
        <v>18</v>
      </c>
      <c r="S1" s="1" t="s">
        <v>19</v>
      </c>
      <c r="T1" s="1" t="s">
        <v>20</v>
      </c>
      <c r="U1" s="1" t="s">
        <v>21</v>
      </c>
      <c r="V1" s="1" t="s">
        <v>22</v>
      </c>
      <c r="W1" s="1" t="s">
        <v>23</v>
      </c>
      <c r="X1" s="1" t="s">
        <v>24</v>
      </c>
    </row>
    <row r="2" customFormat="false" ht="57.45" hidden="false" customHeight="false" outlineLevel="0" collapsed="false">
      <c r="A2" s="2" t="n">
        <v>1</v>
      </c>
      <c r="B2" s="2" t="s">
        <v>1054</v>
      </c>
      <c r="C2" s="2" t="s">
        <v>1055</v>
      </c>
      <c r="D2" s="2" t="s">
        <v>27</v>
      </c>
      <c r="E2" s="2" t="s">
        <v>1056</v>
      </c>
      <c r="F2" s="3" t="s">
        <v>1057</v>
      </c>
      <c r="G2" s="2" t="s">
        <v>1058</v>
      </c>
      <c r="H2" s="3" t="s">
        <v>1059</v>
      </c>
      <c r="I2" s="3" t="s">
        <v>1060</v>
      </c>
      <c r="J2" s="2" t="s">
        <v>1061</v>
      </c>
      <c r="K2" s="2" t="n">
        <v>9</v>
      </c>
      <c r="L2" s="3" t="s">
        <v>1062</v>
      </c>
      <c r="M2" s="3" t="s">
        <v>1063</v>
      </c>
      <c r="N2" s="2" t="n">
        <f aca="false">COUNTIF(Contacts!$B:$B,B2)</f>
        <v>2</v>
      </c>
      <c r="O2" s="4"/>
      <c r="P2" s="4"/>
      <c r="Q2" s="4"/>
      <c r="R2" s="4"/>
      <c r="S2" s="4"/>
      <c r="T2" s="4"/>
      <c r="U2" s="4"/>
      <c r="V2" s="4"/>
      <c r="W2" s="4"/>
      <c r="X2" s="5"/>
    </row>
    <row r="3" customFormat="false" ht="57.45" hidden="false" customHeight="false" outlineLevel="0" collapsed="false">
      <c r="A3" s="2" t="n">
        <v>2</v>
      </c>
      <c r="B3" s="2" t="s">
        <v>1064</v>
      </c>
      <c r="C3" s="2" t="s">
        <v>1065</v>
      </c>
      <c r="D3" s="2" t="s">
        <v>27</v>
      </c>
      <c r="E3" s="2" t="s">
        <v>1066</v>
      </c>
      <c r="F3" s="3" t="s">
        <v>1067</v>
      </c>
      <c r="G3" s="2" t="s">
        <v>1068</v>
      </c>
      <c r="H3" s="3" t="s">
        <v>1069</v>
      </c>
      <c r="I3" s="3" t="s">
        <v>1070</v>
      </c>
      <c r="J3" s="2" t="s">
        <v>1071</v>
      </c>
      <c r="K3" s="2" t="n">
        <v>8</v>
      </c>
      <c r="L3" s="3" t="s">
        <v>1072</v>
      </c>
      <c r="M3" s="3" t="s">
        <v>1073</v>
      </c>
      <c r="N3" s="2" t="n">
        <f aca="false">COUNTIF(Contacts!$B:$B,B3)</f>
        <v>2</v>
      </c>
      <c r="O3" s="4"/>
      <c r="P3" s="4"/>
      <c r="Q3" s="4"/>
      <c r="R3" s="4"/>
      <c r="S3" s="4"/>
      <c r="T3" s="4"/>
      <c r="U3" s="4"/>
      <c r="V3" s="4"/>
      <c r="W3" s="4"/>
      <c r="X3" s="5"/>
    </row>
    <row r="4" customFormat="false" ht="46.25" hidden="false" customHeight="false" outlineLevel="0" collapsed="false">
      <c r="A4" s="2" t="n">
        <v>3</v>
      </c>
      <c r="B4" s="2" t="s">
        <v>1074</v>
      </c>
      <c r="C4" s="2" t="s">
        <v>1075</v>
      </c>
      <c r="D4" s="2" t="s">
        <v>27</v>
      </c>
      <c r="E4" s="2" t="s">
        <v>1076</v>
      </c>
      <c r="F4" s="3" t="s">
        <v>1077</v>
      </c>
      <c r="G4" s="2" t="s">
        <v>1078</v>
      </c>
      <c r="H4" s="3" t="s">
        <v>1079</v>
      </c>
      <c r="I4" s="3" t="s">
        <v>1080</v>
      </c>
      <c r="J4" s="2" t="s">
        <v>74</v>
      </c>
      <c r="K4" s="2" t="n">
        <v>8</v>
      </c>
      <c r="L4" s="3" t="s">
        <v>1081</v>
      </c>
      <c r="M4" s="3" t="s">
        <v>1082</v>
      </c>
      <c r="N4" s="2" t="n">
        <f aca="false">COUNTIF(Contacts!$B:$B,B4)</f>
        <v>2</v>
      </c>
      <c r="O4" s="4"/>
      <c r="P4" s="4"/>
      <c r="Q4" s="4"/>
      <c r="R4" s="4"/>
      <c r="S4" s="4"/>
      <c r="T4" s="4"/>
      <c r="U4" s="4"/>
      <c r="V4" s="4"/>
      <c r="W4" s="4"/>
      <c r="X4" s="5"/>
    </row>
    <row r="5" customFormat="false" ht="46.25" hidden="false" customHeight="false" outlineLevel="0" collapsed="false">
      <c r="A5" s="2" t="n">
        <v>4</v>
      </c>
      <c r="B5" s="2" t="s">
        <v>1083</v>
      </c>
      <c r="C5" s="2" t="s">
        <v>1084</v>
      </c>
      <c r="D5" s="2" t="s">
        <v>1085</v>
      </c>
      <c r="E5" s="2" t="s">
        <v>1086</v>
      </c>
      <c r="F5" s="3" t="s">
        <v>1087</v>
      </c>
      <c r="G5" s="2" t="s">
        <v>1088</v>
      </c>
      <c r="H5" s="3" t="s">
        <v>1089</v>
      </c>
      <c r="I5" s="3" t="s">
        <v>1090</v>
      </c>
      <c r="J5" s="2" t="s">
        <v>1091</v>
      </c>
      <c r="K5" s="2" t="n">
        <v>7</v>
      </c>
      <c r="L5" s="3" t="s">
        <v>1092</v>
      </c>
      <c r="M5" s="3" t="s">
        <v>1093</v>
      </c>
      <c r="N5" s="2" t="n">
        <f aca="false">COUNTIF(Contacts!$B:$B,B5)</f>
        <v>1</v>
      </c>
      <c r="O5" s="4"/>
      <c r="P5" s="4"/>
      <c r="Q5" s="4"/>
      <c r="R5" s="4"/>
      <c r="S5" s="4"/>
      <c r="T5" s="4"/>
      <c r="U5" s="4"/>
      <c r="V5" s="4"/>
      <c r="W5" s="4"/>
      <c r="X5" s="5"/>
    </row>
    <row r="6" customFormat="false" ht="46.25" hidden="false" customHeight="false" outlineLevel="0" collapsed="false">
      <c r="A6" s="2" t="n">
        <v>5</v>
      </c>
      <c r="B6" s="2" t="s">
        <v>1094</v>
      </c>
      <c r="C6" s="2" t="s">
        <v>1095</v>
      </c>
      <c r="D6" s="2" t="s">
        <v>27</v>
      </c>
      <c r="E6" s="2" t="s">
        <v>1096</v>
      </c>
      <c r="F6" s="3" t="s">
        <v>1097</v>
      </c>
      <c r="G6" s="2" t="s">
        <v>1098</v>
      </c>
      <c r="H6" s="3" t="s">
        <v>1099</v>
      </c>
      <c r="I6" s="3" t="s">
        <v>1100</v>
      </c>
      <c r="J6" s="2" t="s">
        <v>253</v>
      </c>
      <c r="K6" s="2" t="n">
        <v>7</v>
      </c>
      <c r="L6" s="3" t="s">
        <v>1101</v>
      </c>
      <c r="M6" s="3" t="s">
        <v>1102</v>
      </c>
      <c r="N6" s="2" t="n">
        <f aca="false">COUNTIF(Contacts!$B:$B,B6)</f>
        <v>1</v>
      </c>
      <c r="O6" s="4"/>
      <c r="P6" s="4"/>
      <c r="Q6" s="4"/>
      <c r="R6" s="4"/>
      <c r="S6" s="4"/>
      <c r="T6" s="4"/>
      <c r="U6" s="4"/>
      <c r="V6" s="4"/>
      <c r="W6" s="4"/>
      <c r="X6" s="5"/>
    </row>
    <row r="7" customFormat="false" ht="35.05" hidden="false" customHeight="false" outlineLevel="0" collapsed="false">
      <c r="A7" s="2" t="n">
        <v>6</v>
      </c>
      <c r="B7" s="2" t="s">
        <v>1103</v>
      </c>
      <c r="C7" s="2" t="s">
        <v>1104</v>
      </c>
      <c r="D7" s="2" t="s">
        <v>1105</v>
      </c>
      <c r="E7" s="2" t="s">
        <v>1106</v>
      </c>
      <c r="F7" s="3" t="s">
        <v>1107</v>
      </c>
      <c r="G7" s="2" t="s">
        <v>380</v>
      </c>
      <c r="H7" s="3" t="s">
        <v>1108</v>
      </c>
      <c r="I7" s="3" t="s">
        <v>1109</v>
      </c>
      <c r="J7" s="2" t="s">
        <v>1110</v>
      </c>
      <c r="K7" s="2" t="n">
        <v>7</v>
      </c>
      <c r="L7" s="3" t="s">
        <v>1111</v>
      </c>
      <c r="M7" s="3"/>
      <c r="N7" s="2" t="n">
        <f aca="false">COUNTIF(Contacts!$B:$B,B7)</f>
        <v>0</v>
      </c>
      <c r="O7" s="4"/>
      <c r="P7" s="4"/>
      <c r="Q7" s="4"/>
      <c r="R7" s="4"/>
      <c r="S7" s="4"/>
      <c r="T7" s="4"/>
      <c r="U7" s="4"/>
      <c r="V7" s="4"/>
      <c r="W7" s="4"/>
      <c r="X7" s="5"/>
    </row>
    <row r="8" customFormat="false" ht="35.05" hidden="false" customHeight="false" outlineLevel="0" collapsed="false">
      <c r="A8" s="2" t="n">
        <v>7</v>
      </c>
      <c r="B8" s="2" t="s">
        <v>1112</v>
      </c>
      <c r="C8" s="2" t="s">
        <v>1113</v>
      </c>
      <c r="D8" s="2" t="s">
        <v>27</v>
      </c>
      <c r="E8" s="2" t="s">
        <v>1114</v>
      </c>
      <c r="F8" s="3" t="s">
        <v>1115</v>
      </c>
      <c r="G8" s="2" t="s">
        <v>1116</v>
      </c>
      <c r="H8" s="3" t="s">
        <v>1117</v>
      </c>
      <c r="I8" s="3" t="s">
        <v>1118</v>
      </c>
      <c r="J8" s="2" t="s">
        <v>1119</v>
      </c>
      <c r="K8" s="2" t="n">
        <v>7</v>
      </c>
      <c r="L8" s="3" t="s">
        <v>1120</v>
      </c>
      <c r="M8" s="3" t="s">
        <v>1121</v>
      </c>
      <c r="N8" s="2" t="n">
        <f aca="false">COUNTIF(Contacts!$B:$B,B8)</f>
        <v>1</v>
      </c>
      <c r="O8" s="4"/>
      <c r="P8" s="4"/>
      <c r="Q8" s="4"/>
      <c r="R8" s="4"/>
      <c r="S8" s="4"/>
      <c r="T8" s="4"/>
      <c r="U8" s="4"/>
      <c r="V8" s="4"/>
      <c r="W8" s="4"/>
      <c r="X8" s="5"/>
    </row>
    <row r="9" customFormat="false" ht="35.05" hidden="false" customHeight="false" outlineLevel="0" collapsed="false">
      <c r="A9" s="2" t="n">
        <v>8</v>
      </c>
      <c r="B9" s="2" t="s">
        <v>1122</v>
      </c>
      <c r="C9" s="2" t="s">
        <v>1123</v>
      </c>
      <c r="D9" s="2" t="s">
        <v>27</v>
      </c>
      <c r="E9" s="2" t="s">
        <v>1124</v>
      </c>
      <c r="F9" s="3" t="s">
        <v>1125</v>
      </c>
      <c r="G9" s="2" t="s">
        <v>1126</v>
      </c>
      <c r="H9" s="3" t="s">
        <v>1127</v>
      </c>
      <c r="I9" s="3" t="s">
        <v>1128</v>
      </c>
      <c r="J9" s="2" t="s">
        <v>1119</v>
      </c>
      <c r="K9" s="2" t="n">
        <v>7</v>
      </c>
      <c r="L9" s="3" t="s">
        <v>1129</v>
      </c>
      <c r="M9" s="3" t="s">
        <v>1130</v>
      </c>
      <c r="N9" s="2" t="n">
        <f aca="false">COUNTIF(Contacts!$B:$B,B9)</f>
        <v>1</v>
      </c>
      <c r="O9" s="4"/>
      <c r="P9" s="4"/>
      <c r="Q9" s="4"/>
      <c r="R9" s="4"/>
      <c r="S9" s="4"/>
      <c r="T9" s="4"/>
      <c r="U9" s="4"/>
      <c r="V9" s="4"/>
      <c r="W9" s="4"/>
      <c r="X9" s="5"/>
    </row>
    <row r="10" customFormat="false" ht="46.25" hidden="false" customHeight="false" outlineLevel="0" collapsed="false">
      <c r="A10" s="2" t="n">
        <v>9</v>
      </c>
      <c r="B10" s="2" t="s">
        <v>1131</v>
      </c>
      <c r="C10" s="2" t="s">
        <v>1132</v>
      </c>
      <c r="D10" s="2" t="s">
        <v>27</v>
      </c>
      <c r="E10" s="2" t="s">
        <v>1133</v>
      </c>
      <c r="F10" s="3" t="s">
        <v>1134</v>
      </c>
      <c r="G10" s="2" t="s">
        <v>380</v>
      </c>
      <c r="H10" s="3" t="s">
        <v>1135</v>
      </c>
      <c r="I10" s="3" t="s">
        <v>1136</v>
      </c>
      <c r="J10" s="2" t="s">
        <v>1091</v>
      </c>
      <c r="K10" s="2" t="n">
        <v>7</v>
      </c>
      <c r="L10" s="3" t="s">
        <v>1137</v>
      </c>
      <c r="M10" s="3"/>
      <c r="N10" s="2" t="n">
        <f aca="false">COUNTIF(Contacts!$B:$B,B10)</f>
        <v>0</v>
      </c>
      <c r="O10" s="4"/>
      <c r="P10" s="4"/>
      <c r="Q10" s="4"/>
      <c r="R10" s="4"/>
      <c r="S10" s="4"/>
      <c r="T10" s="4"/>
      <c r="U10" s="4"/>
      <c r="V10" s="4"/>
      <c r="W10" s="4"/>
      <c r="X10" s="5"/>
    </row>
    <row r="11" customFormat="false" ht="35.05" hidden="false" customHeight="false" outlineLevel="0" collapsed="false">
      <c r="A11" s="2" t="n">
        <v>10</v>
      </c>
      <c r="B11" s="2" t="s">
        <v>1138</v>
      </c>
      <c r="C11" s="2" t="s">
        <v>1139</v>
      </c>
      <c r="D11" s="2" t="s">
        <v>27</v>
      </c>
      <c r="E11" s="2" t="s">
        <v>1140</v>
      </c>
      <c r="F11" s="3" t="s">
        <v>1141</v>
      </c>
      <c r="G11" s="2" t="s">
        <v>1142</v>
      </c>
      <c r="H11" s="3" t="s">
        <v>1143</v>
      </c>
      <c r="I11" s="3" t="s">
        <v>1144</v>
      </c>
      <c r="J11" s="2" t="s">
        <v>217</v>
      </c>
      <c r="K11" s="2" t="n">
        <v>7</v>
      </c>
      <c r="L11" s="3" t="s">
        <v>1145</v>
      </c>
      <c r="M11" s="3"/>
      <c r="N11" s="2" t="n">
        <f aca="false">COUNTIF(Contacts!$B:$B,B11)</f>
        <v>0</v>
      </c>
      <c r="O11" s="4"/>
      <c r="P11" s="4"/>
      <c r="Q11" s="4"/>
      <c r="R11" s="4"/>
      <c r="S11" s="4"/>
      <c r="T11" s="4"/>
      <c r="U11" s="4"/>
      <c r="V11" s="4"/>
      <c r="W11" s="4"/>
      <c r="X11" s="5"/>
    </row>
    <row r="12" customFormat="false" ht="35.05" hidden="false" customHeight="false" outlineLevel="0" collapsed="false">
      <c r="A12" s="2" t="n">
        <v>11</v>
      </c>
      <c r="B12" s="2" t="s">
        <v>1146</v>
      </c>
      <c r="C12" s="2" t="s">
        <v>1147</v>
      </c>
      <c r="D12" s="2" t="s">
        <v>1148</v>
      </c>
      <c r="E12" s="2" t="s">
        <v>1149</v>
      </c>
      <c r="F12" s="3" t="s">
        <v>1150</v>
      </c>
      <c r="G12" s="2" t="s">
        <v>1151</v>
      </c>
      <c r="H12" s="3" t="s">
        <v>1152</v>
      </c>
      <c r="I12" s="3" t="s">
        <v>1153</v>
      </c>
      <c r="J12" s="2" t="s">
        <v>217</v>
      </c>
      <c r="K12" s="2" t="n">
        <v>7</v>
      </c>
      <c r="L12" s="3" t="s">
        <v>1154</v>
      </c>
      <c r="M12" s="3" t="s">
        <v>1155</v>
      </c>
      <c r="N12" s="2" t="n">
        <f aca="false">COUNTIF(Contacts!$B:$B,B12)</f>
        <v>2</v>
      </c>
      <c r="O12" s="4"/>
      <c r="P12" s="4"/>
      <c r="Q12" s="4"/>
      <c r="R12" s="4"/>
      <c r="S12" s="4"/>
      <c r="T12" s="4"/>
      <c r="U12" s="4"/>
      <c r="V12" s="4"/>
      <c r="W12" s="4"/>
      <c r="X12" s="5"/>
    </row>
    <row r="13" customFormat="false" ht="46.25" hidden="false" customHeight="false" outlineLevel="0" collapsed="false">
      <c r="A13" s="2" t="n">
        <v>12</v>
      </c>
      <c r="B13" s="2" t="s">
        <v>1156</v>
      </c>
      <c r="C13" s="2" t="s">
        <v>1157</v>
      </c>
      <c r="D13" s="2" t="s">
        <v>27</v>
      </c>
      <c r="E13" s="2" t="s">
        <v>1158</v>
      </c>
      <c r="F13" s="3" t="s">
        <v>1159</v>
      </c>
      <c r="G13" s="2" t="s">
        <v>1160</v>
      </c>
      <c r="H13" s="3" t="s">
        <v>1161</v>
      </c>
      <c r="I13" s="3" t="s">
        <v>1162</v>
      </c>
      <c r="J13" s="2" t="s">
        <v>1163</v>
      </c>
      <c r="K13" s="2" t="n">
        <v>7</v>
      </c>
      <c r="L13" s="3" t="s">
        <v>1164</v>
      </c>
      <c r="M13" s="3" t="s">
        <v>1165</v>
      </c>
      <c r="N13" s="2" t="n">
        <f aca="false">COUNTIF(Contacts!$B:$B,B13)</f>
        <v>1</v>
      </c>
      <c r="O13" s="4"/>
      <c r="P13" s="4"/>
      <c r="Q13" s="4"/>
      <c r="R13" s="4"/>
      <c r="S13" s="4"/>
      <c r="T13" s="4"/>
      <c r="U13" s="4"/>
      <c r="V13" s="4"/>
      <c r="W13" s="4"/>
      <c r="X13" s="5"/>
    </row>
    <row r="14" customFormat="false" ht="35.05" hidden="false" customHeight="false" outlineLevel="0" collapsed="false">
      <c r="A14" s="2" t="n">
        <v>13</v>
      </c>
      <c r="B14" s="2" t="s">
        <v>1166</v>
      </c>
      <c r="C14" s="2" t="s">
        <v>1167</v>
      </c>
      <c r="D14" s="2" t="s">
        <v>27</v>
      </c>
      <c r="E14" s="2" t="s">
        <v>1168</v>
      </c>
      <c r="F14" s="3" t="s">
        <v>1169</v>
      </c>
      <c r="G14" s="2" t="s">
        <v>1170</v>
      </c>
      <c r="H14" s="3" t="s">
        <v>1171</v>
      </c>
      <c r="I14" s="3" t="s">
        <v>1172</v>
      </c>
      <c r="J14" s="2" t="s">
        <v>1173</v>
      </c>
      <c r="K14" s="2" t="n">
        <v>6</v>
      </c>
      <c r="L14" s="3" t="s">
        <v>1174</v>
      </c>
      <c r="M14" s="3" t="s">
        <v>1175</v>
      </c>
      <c r="N14" s="2" t="n">
        <f aca="false">COUNTIF(Contacts!$B:$B,B14)</f>
        <v>1</v>
      </c>
      <c r="O14" s="4"/>
      <c r="P14" s="4"/>
      <c r="Q14" s="4"/>
      <c r="R14" s="4"/>
      <c r="S14" s="4"/>
      <c r="T14" s="4"/>
      <c r="U14" s="4"/>
      <c r="V14" s="4"/>
      <c r="W14" s="4"/>
      <c r="X14" s="5"/>
    </row>
    <row r="15" customFormat="false" ht="35.05" hidden="false" customHeight="false" outlineLevel="0" collapsed="false">
      <c r="A15" s="2" t="n">
        <v>14</v>
      </c>
      <c r="B15" s="2" t="s">
        <v>1176</v>
      </c>
      <c r="C15" s="2" t="s">
        <v>1177</v>
      </c>
      <c r="D15" s="2" t="s">
        <v>1178</v>
      </c>
      <c r="E15" s="2" t="s">
        <v>1179</v>
      </c>
      <c r="F15" s="3" t="s">
        <v>1180</v>
      </c>
      <c r="G15" s="2" t="s">
        <v>1181</v>
      </c>
      <c r="H15" s="3" t="s">
        <v>1182</v>
      </c>
      <c r="I15" s="3" t="s">
        <v>1183</v>
      </c>
      <c r="J15" s="2" t="s">
        <v>1184</v>
      </c>
      <c r="K15" s="2" t="n">
        <v>6</v>
      </c>
      <c r="L15" s="3" t="s">
        <v>1185</v>
      </c>
      <c r="M15" s="3" t="s">
        <v>1186</v>
      </c>
      <c r="N15" s="2" t="n">
        <f aca="false">COUNTIF(Contacts!$B:$B,B15)</f>
        <v>2</v>
      </c>
      <c r="O15" s="4"/>
      <c r="P15" s="4"/>
      <c r="Q15" s="4"/>
      <c r="R15" s="4"/>
      <c r="S15" s="4"/>
      <c r="T15" s="4"/>
      <c r="U15" s="4"/>
      <c r="V15" s="4"/>
      <c r="W15" s="4"/>
      <c r="X15" s="5"/>
    </row>
    <row r="16" customFormat="false" ht="46.25" hidden="false" customHeight="false" outlineLevel="0" collapsed="false">
      <c r="A16" s="2" t="n">
        <v>15</v>
      </c>
      <c r="B16" s="2" t="s">
        <v>1187</v>
      </c>
      <c r="C16" s="2" t="s">
        <v>1188</v>
      </c>
      <c r="D16" s="2" t="s">
        <v>1189</v>
      </c>
      <c r="E16" s="2" t="s">
        <v>1190</v>
      </c>
      <c r="F16" s="3" t="s">
        <v>1191</v>
      </c>
      <c r="G16" s="2" t="s">
        <v>1192</v>
      </c>
      <c r="H16" s="3" t="s">
        <v>1193</v>
      </c>
      <c r="I16" s="3" t="s">
        <v>1194</v>
      </c>
      <c r="J16" s="2" t="s">
        <v>632</v>
      </c>
      <c r="K16" s="2" t="n">
        <v>6</v>
      </c>
      <c r="L16" s="3" t="s">
        <v>1195</v>
      </c>
      <c r="M16" s="3" t="s">
        <v>1196</v>
      </c>
      <c r="N16" s="2" t="n">
        <f aca="false">COUNTIF(Contacts!$B:$B,B16)</f>
        <v>1</v>
      </c>
      <c r="O16" s="4"/>
      <c r="P16" s="4"/>
      <c r="Q16" s="4"/>
      <c r="R16" s="4"/>
      <c r="S16" s="4"/>
      <c r="T16" s="4"/>
      <c r="U16" s="4"/>
      <c r="V16" s="4"/>
      <c r="W16" s="4"/>
      <c r="X16" s="5"/>
    </row>
    <row r="17" customFormat="false" ht="46.25" hidden="false" customHeight="false" outlineLevel="0" collapsed="false">
      <c r="A17" s="2" t="n">
        <v>16</v>
      </c>
      <c r="B17" s="2" t="s">
        <v>1197</v>
      </c>
      <c r="C17" s="2" t="s">
        <v>1198</v>
      </c>
      <c r="D17" s="2" t="s">
        <v>165</v>
      </c>
      <c r="E17" s="2" t="s">
        <v>1199</v>
      </c>
      <c r="F17" s="3" t="s">
        <v>1200</v>
      </c>
      <c r="G17" s="2" t="s">
        <v>1201</v>
      </c>
      <c r="H17" s="3" t="s">
        <v>1202</v>
      </c>
      <c r="I17" s="3" t="s">
        <v>1203</v>
      </c>
      <c r="J17" s="2" t="s">
        <v>365</v>
      </c>
      <c r="K17" s="2" t="n">
        <v>6</v>
      </c>
      <c r="L17" s="3" t="s">
        <v>1204</v>
      </c>
      <c r="M17" s="3"/>
      <c r="N17" s="2" t="n">
        <f aca="false">COUNTIF(Contacts!$B:$B,B17)</f>
        <v>0</v>
      </c>
      <c r="O17" s="4"/>
      <c r="P17" s="4"/>
      <c r="Q17" s="4"/>
      <c r="R17" s="4"/>
      <c r="S17" s="4"/>
      <c r="T17" s="4"/>
      <c r="U17" s="4"/>
      <c r="V17" s="4"/>
      <c r="W17" s="4"/>
      <c r="X17" s="5"/>
    </row>
    <row r="18" customFormat="false" ht="35.05" hidden="false" customHeight="false" outlineLevel="0" collapsed="false">
      <c r="A18" s="2" t="n">
        <v>17</v>
      </c>
      <c r="B18" s="2" t="s">
        <v>1205</v>
      </c>
      <c r="C18" s="2" t="s">
        <v>1206</v>
      </c>
      <c r="D18" s="2" t="s">
        <v>1207</v>
      </c>
      <c r="E18" s="2" t="s">
        <v>1208</v>
      </c>
      <c r="F18" s="3" t="s">
        <v>1209</v>
      </c>
      <c r="G18" s="2" t="s">
        <v>1210</v>
      </c>
      <c r="H18" s="3" t="s">
        <v>1211</v>
      </c>
      <c r="I18" s="3" t="s">
        <v>1212</v>
      </c>
      <c r="J18" s="2" t="s">
        <v>387</v>
      </c>
      <c r="K18" s="2" t="n">
        <v>6</v>
      </c>
      <c r="L18" s="3" t="s">
        <v>1213</v>
      </c>
      <c r="M18" s="3"/>
      <c r="N18" s="2" t="n">
        <f aca="false">COUNTIF(Contacts!$B:$B,B18)</f>
        <v>0</v>
      </c>
      <c r="O18" s="4"/>
      <c r="P18" s="4"/>
      <c r="Q18" s="4"/>
      <c r="R18" s="4"/>
      <c r="S18" s="4"/>
      <c r="T18" s="4"/>
      <c r="U18" s="4"/>
      <c r="V18" s="4"/>
      <c r="W18" s="4"/>
      <c r="X18" s="5"/>
    </row>
    <row r="19" customFormat="false" ht="35.05" hidden="false" customHeight="false" outlineLevel="0" collapsed="false">
      <c r="A19" s="2" t="n">
        <v>18</v>
      </c>
      <c r="B19" s="2" t="s">
        <v>1214</v>
      </c>
      <c r="C19" s="2" t="s">
        <v>1215</v>
      </c>
      <c r="D19" s="2" t="s">
        <v>27</v>
      </c>
      <c r="E19" s="2" t="s">
        <v>1216</v>
      </c>
      <c r="F19" s="3" t="s">
        <v>1217</v>
      </c>
      <c r="G19" s="2" t="s">
        <v>1218</v>
      </c>
      <c r="H19" s="3" t="s">
        <v>1219</v>
      </c>
      <c r="I19" s="3" t="s">
        <v>1220</v>
      </c>
      <c r="J19" s="2" t="s">
        <v>387</v>
      </c>
      <c r="K19" s="2" t="n">
        <v>6</v>
      </c>
      <c r="L19" s="3" t="s">
        <v>1221</v>
      </c>
      <c r="M19" s="3" t="s">
        <v>1222</v>
      </c>
      <c r="N19" s="2" t="n">
        <f aca="false">COUNTIF(Contacts!$B:$B,B19)</f>
        <v>1</v>
      </c>
      <c r="O19" s="4"/>
      <c r="P19" s="4"/>
      <c r="Q19" s="4"/>
      <c r="R19" s="4"/>
      <c r="S19" s="4"/>
      <c r="T19" s="4"/>
      <c r="U19" s="4"/>
      <c r="V19" s="4"/>
      <c r="W19" s="4"/>
      <c r="X19" s="5"/>
    </row>
    <row r="20" customFormat="false" ht="35.05" hidden="false" customHeight="false" outlineLevel="0" collapsed="false">
      <c r="A20" s="2" t="n">
        <v>19</v>
      </c>
      <c r="B20" s="2" t="s">
        <v>1223</v>
      </c>
      <c r="C20" s="2" t="s">
        <v>1224</v>
      </c>
      <c r="D20" s="2" t="s">
        <v>27</v>
      </c>
      <c r="E20" s="2" t="s">
        <v>1225</v>
      </c>
      <c r="F20" s="3" t="s">
        <v>1226</v>
      </c>
      <c r="G20" s="2" t="s">
        <v>1227</v>
      </c>
      <c r="H20" s="3" t="s">
        <v>1228</v>
      </c>
      <c r="I20" s="3" t="s">
        <v>1229</v>
      </c>
      <c r="J20" s="2" t="s">
        <v>1230</v>
      </c>
      <c r="K20" s="2" t="n">
        <v>6</v>
      </c>
      <c r="L20" s="3" t="s">
        <v>1231</v>
      </c>
      <c r="M20" s="3"/>
      <c r="N20" s="2" t="n">
        <f aca="false">COUNTIF(Contacts!$B:$B,B20)</f>
        <v>0</v>
      </c>
      <c r="O20" s="4"/>
      <c r="P20" s="4"/>
      <c r="Q20" s="4"/>
      <c r="R20" s="4"/>
      <c r="S20" s="4"/>
      <c r="T20" s="4"/>
      <c r="U20" s="4"/>
      <c r="V20" s="4"/>
      <c r="W20" s="4"/>
      <c r="X20" s="5"/>
    </row>
    <row r="21" customFormat="false" ht="35.05" hidden="false" customHeight="false" outlineLevel="0" collapsed="false">
      <c r="A21" s="2" t="n">
        <v>20</v>
      </c>
      <c r="B21" s="2" t="s">
        <v>1232</v>
      </c>
      <c r="C21" s="2" t="s">
        <v>1233</v>
      </c>
      <c r="D21" s="2" t="s">
        <v>27</v>
      </c>
      <c r="E21" s="2" t="s">
        <v>1234</v>
      </c>
      <c r="F21" s="3" t="s">
        <v>1235</v>
      </c>
      <c r="G21" s="2" t="s">
        <v>1236</v>
      </c>
      <c r="H21" s="3" t="s">
        <v>1237</v>
      </c>
      <c r="I21" s="3" t="s">
        <v>1238</v>
      </c>
      <c r="J21" s="2" t="s">
        <v>1239</v>
      </c>
      <c r="K21" s="2" t="n">
        <v>6</v>
      </c>
      <c r="L21" s="3" t="s">
        <v>1240</v>
      </c>
      <c r="M21" s="3" t="s">
        <v>1241</v>
      </c>
      <c r="N21" s="2" t="n">
        <f aca="false">COUNTIF(Contacts!$B:$B,B21)</f>
        <v>2</v>
      </c>
      <c r="O21" s="4"/>
      <c r="P21" s="4"/>
      <c r="Q21" s="4"/>
      <c r="R21" s="4"/>
      <c r="S21" s="4"/>
      <c r="T21" s="4"/>
      <c r="U21" s="4"/>
      <c r="V21" s="4"/>
      <c r="W21" s="4"/>
      <c r="X21" s="5"/>
    </row>
    <row r="22" customFormat="false" ht="35.05" hidden="false" customHeight="false" outlineLevel="0" collapsed="false">
      <c r="A22" s="2" t="n">
        <v>21</v>
      </c>
      <c r="B22" s="2" t="s">
        <v>1242</v>
      </c>
      <c r="C22" s="2" t="s">
        <v>1243</v>
      </c>
      <c r="D22" s="2" t="s">
        <v>617</v>
      </c>
      <c r="E22" s="2" t="s">
        <v>1244</v>
      </c>
      <c r="F22" s="3" t="s">
        <v>1245</v>
      </c>
      <c r="G22" s="2" t="s">
        <v>1246</v>
      </c>
      <c r="H22" s="3" t="s">
        <v>1247</v>
      </c>
      <c r="I22" s="3" t="s">
        <v>1248</v>
      </c>
      <c r="J22" s="2" t="s">
        <v>1249</v>
      </c>
      <c r="K22" s="2" t="n">
        <v>6</v>
      </c>
      <c r="L22" s="3" t="s">
        <v>1250</v>
      </c>
      <c r="M22" s="3" t="s">
        <v>1251</v>
      </c>
      <c r="N22" s="2" t="n">
        <f aca="false">COUNTIF(Contacts!$B:$B,B22)</f>
        <v>1</v>
      </c>
      <c r="O22" s="4"/>
      <c r="P22" s="4"/>
      <c r="Q22" s="4"/>
      <c r="R22" s="4"/>
      <c r="S22" s="4"/>
      <c r="T22" s="4"/>
      <c r="U22" s="4"/>
      <c r="V22" s="4"/>
      <c r="W22" s="4"/>
      <c r="X22" s="5"/>
    </row>
    <row r="23" customFormat="false" ht="46.25" hidden="false" customHeight="false" outlineLevel="0" collapsed="false">
      <c r="A23" s="2" t="n">
        <v>22</v>
      </c>
      <c r="B23" s="2" t="s">
        <v>1252</v>
      </c>
      <c r="C23" s="2" t="s">
        <v>1253</v>
      </c>
      <c r="D23" s="2" t="s">
        <v>221</v>
      </c>
      <c r="E23" s="2" t="s">
        <v>1254</v>
      </c>
      <c r="F23" s="3" t="s">
        <v>1255</v>
      </c>
      <c r="G23" s="2" t="s">
        <v>380</v>
      </c>
      <c r="H23" s="3" t="s">
        <v>1256</v>
      </c>
      <c r="I23" s="3" t="s">
        <v>1257</v>
      </c>
      <c r="J23" s="2" t="s">
        <v>847</v>
      </c>
      <c r="K23" s="2" t="n">
        <v>5</v>
      </c>
      <c r="L23" s="3" t="s">
        <v>1258</v>
      </c>
      <c r="M23" s="3" t="s">
        <v>1259</v>
      </c>
      <c r="N23" s="2" t="n">
        <f aca="false">COUNTIF(Contacts!$B:$B,B23)</f>
        <v>1</v>
      </c>
      <c r="O23" s="4"/>
      <c r="P23" s="4"/>
      <c r="Q23" s="4"/>
      <c r="R23" s="4"/>
      <c r="S23" s="4"/>
      <c r="T23" s="4"/>
      <c r="U23" s="4"/>
      <c r="V23" s="4"/>
      <c r="W23" s="4"/>
      <c r="X23" s="5"/>
    </row>
    <row r="24" customFormat="false" ht="46.25" hidden="false" customHeight="false" outlineLevel="0" collapsed="false">
      <c r="A24" s="2" t="n">
        <v>23</v>
      </c>
      <c r="B24" s="2" t="s">
        <v>1260</v>
      </c>
      <c r="C24" s="2" t="s">
        <v>1261</v>
      </c>
      <c r="D24" s="2" t="s">
        <v>27</v>
      </c>
      <c r="E24" s="2" t="s">
        <v>1262</v>
      </c>
      <c r="F24" s="3" t="s">
        <v>1263</v>
      </c>
      <c r="G24" s="2" t="s">
        <v>1264</v>
      </c>
      <c r="H24" s="3" t="s">
        <v>1265</v>
      </c>
      <c r="I24" s="3" t="s">
        <v>1266</v>
      </c>
      <c r="J24" s="2" t="s">
        <v>1267</v>
      </c>
      <c r="K24" s="2" t="n">
        <v>5</v>
      </c>
      <c r="L24" s="3" t="s">
        <v>1268</v>
      </c>
      <c r="M24" s="3" t="s">
        <v>1269</v>
      </c>
      <c r="N24" s="2" t="n">
        <f aca="false">COUNTIF(Contacts!$B:$B,B24)</f>
        <v>1</v>
      </c>
      <c r="O24" s="4"/>
      <c r="P24" s="4"/>
      <c r="Q24" s="4"/>
      <c r="R24" s="4"/>
      <c r="S24" s="4"/>
      <c r="T24" s="4"/>
      <c r="U24" s="4"/>
      <c r="V24" s="4"/>
      <c r="W24" s="4"/>
      <c r="X24" s="5"/>
    </row>
    <row r="25" customFormat="false" ht="35.05" hidden="false" customHeight="false" outlineLevel="0" collapsed="false">
      <c r="A25" s="2" t="n">
        <v>24</v>
      </c>
      <c r="B25" s="2" t="s">
        <v>1270</v>
      </c>
      <c r="C25" s="2" t="s">
        <v>1271</v>
      </c>
      <c r="D25" s="2" t="s">
        <v>27</v>
      </c>
      <c r="E25" s="2" t="s">
        <v>1272</v>
      </c>
      <c r="F25" s="3" t="s">
        <v>1273</v>
      </c>
      <c r="G25" s="2" t="s">
        <v>1274</v>
      </c>
      <c r="H25" s="3" t="s">
        <v>1275</v>
      </c>
      <c r="I25" s="3" t="s">
        <v>1276</v>
      </c>
      <c r="J25" s="2" t="s">
        <v>847</v>
      </c>
      <c r="K25" s="2" t="n">
        <v>5</v>
      </c>
      <c r="L25" s="3" t="s">
        <v>1277</v>
      </c>
      <c r="M25" s="3" t="s">
        <v>1278</v>
      </c>
      <c r="N25" s="2" t="n">
        <f aca="false">COUNTIF(Contacts!$B:$B,B25)</f>
        <v>1</v>
      </c>
      <c r="O25" s="4"/>
      <c r="P25" s="4"/>
      <c r="Q25" s="4"/>
      <c r="R25" s="4"/>
      <c r="S25" s="4"/>
      <c r="T25" s="4"/>
      <c r="U25" s="4"/>
      <c r="V25" s="4"/>
      <c r="W25" s="4"/>
      <c r="X25" s="5"/>
    </row>
    <row r="26" customFormat="false" ht="35.05" hidden="false" customHeight="false" outlineLevel="0" collapsed="false">
      <c r="A26" s="2" t="n">
        <v>25</v>
      </c>
      <c r="B26" s="2" t="s">
        <v>1279</v>
      </c>
      <c r="C26" s="2" t="s">
        <v>1280</v>
      </c>
      <c r="D26" s="2" t="s">
        <v>27</v>
      </c>
      <c r="E26" s="2" t="s">
        <v>1281</v>
      </c>
      <c r="F26" s="3" t="s">
        <v>1282</v>
      </c>
      <c r="G26" s="2" t="s">
        <v>1283</v>
      </c>
      <c r="H26" s="3" t="s">
        <v>1284</v>
      </c>
      <c r="I26" s="3" t="s">
        <v>1285</v>
      </c>
      <c r="J26" s="2" t="s">
        <v>847</v>
      </c>
      <c r="K26" s="2" t="n">
        <v>5</v>
      </c>
      <c r="L26" s="3" t="s">
        <v>1286</v>
      </c>
      <c r="M26" s="3"/>
      <c r="N26" s="2" t="n">
        <f aca="false">COUNTIF(Contacts!$B:$B,B26)</f>
        <v>0</v>
      </c>
      <c r="O26" s="4"/>
      <c r="P26" s="4"/>
      <c r="Q26" s="4"/>
      <c r="R26" s="4"/>
      <c r="S26" s="4"/>
      <c r="T26" s="4"/>
      <c r="U26" s="4"/>
      <c r="V26" s="4"/>
      <c r="W26" s="4"/>
      <c r="X26" s="5"/>
    </row>
    <row r="27" customFormat="false" ht="35.05" hidden="false" customHeight="false" outlineLevel="0" collapsed="false">
      <c r="A27" s="2" t="n">
        <v>26</v>
      </c>
      <c r="B27" s="2" t="s">
        <v>1287</v>
      </c>
      <c r="C27" s="2" t="s">
        <v>1288</v>
      </c>
      <c r="D27" s="2" t="s">
        <v>175</v>
      </c>
      <c r="E27" s="2" t="s">
        <v>1289</v>
      </c>
      <c r="F27" s="3" t="s">
        <v>1290</v>
      </c>
      <c r="G27" s="2" t="s">
        <v>1291</v>
      </c>
      <c r="H27" s="3" t="s">
        <v>1292</v>
      </c>
      <c r="I27" s="3" t="s">
        <v>1293</v>
      </c>
      <c r="J27" s="2" t="s">
        <v>1294</v>
      </c>
      <c r="K27" s="2" t="n">
        <v>4</v>
      </c>
      <c r="L27" s="3" t="s">
        <v>1295</v>
      </c>
      <c r="M27" s="3"/>
      <c r="N27" s="2" t="n">
        <f aca="false">COUNTIF(Contacts!$B:$B,B27)</f>
        <v>0</v>
      </c>
      <c r="O27" s="4"/>
      <c r="P27" s="4"/>
      <c r="Q27" s="4"/>
      <c r="R27" s="4"/>
      <c r="S27" s="4"/>
      <c r="T27" s="4"/>
      <c r="U27" s="4"/>
      <c r="V27" s="4"/>
      <c r="W27" s="4"/>
      <c r="X27" s="5"/>
    </row>
    <row r="28" customFormat="false" ht="35.05" hidden="false" customHeight="false" outlineLevel="0" collapsed="false">
      <c r="A28" s="2" t="n">
        <v>27</v>
      </c>
      <c r="B28" s="2" t="s">
        <v>1296</v>
      </c>
      <c r="C28" s="2" t="s">
        <v>1297</v>
      </c>
      <c r="D28" s="2" t="s">
        <v>27</v>
      </c>
      <c r="E28" s="2" t="s">
        <v>1298</v>
      </c>
      <c r="F28" s="3" t="s">
        <v>1299</v>
      </c>
      <c r="G28" s="2" t="s">
        <v>1300</v>
      </c>
      <c r="H28" s="3" t="s">
        <v>1301</v>
      </c>
      <c r="I28" s="3" t="s">
        <v>1302</v>
      </c>
      <c r="J28" s="2" t="s">
        <v>937</v>
      </c>
      <c r="K28" s="2" t="n">
        <v>4</v>
      </c>
      <c r="L28" s="3" t="s">
        <v>1303</v>
      </c>
      <c r="M28" s="3" t="s">
        <v>1304</v>
      </c>
      <c r="N28" s="2" t="n">
        <f aca="false">COUNTIF(Contacts!$B:$B,B28)</f>
        <v>1</v>
      </c>
      <c r="O28" s="4"/>
      <c r="P28" s="4"/>
      <c r="Q28" s="4"/>
      <c r="R28" s="4"/>
      <c r="S28" s="4"/>
      <c r="T28" s="4"/>
      <c r="U28" s="4"/>
      <c r="V28" s="4"/>
      <c r="W28" s="4"/>
      <c r="X28" s="5"/>
    </row>
  </sheetData>
  <autoFilter ref="A1:X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26"/>
    <col collapsed="false" customWidth="true" hidden="false" outlineLevel="0" max="4" min="4" style="0" width="40"/>
    <col collapsed="false" customWidth="true" hidden="false" outlineLevel="0" max="5" min="5" style="0" width="44"/>
    <col collapsed="false" customWidth="true" hidden="false" outlineLevel="0" max="6" min="6" style="0" width="16"/>
    <col collapsed="false" customWidth="true" hidden="false" outlineLevel="0" max="7" min="7" style="0" width="30"/>
  </cols>
  <sheetData>
    <row r="1" customFormat="false" ht="15" hidden="false" customHeight="false" outlineLevel="0" collapsed="false">
      <c r="A1" s="1" t="s">
        <v>1049</v>
      </c>
      <c r="B1" s="1" t="s">
        <v>1</v>
      </c>
      <c r="C1" s="1" t="s">
        <v>1305</v>
      </c>
      <c r="D1" s="1" t="s">
        <v>1306</v>
      </c>
      <c r="E1" s="1" t="s">
        <v>1307</v>
      </c>
      <c r="F1" s="1" t="s">
        <v>23</v>
      </c>
      <c r="G1" s="1" t="s">
        <v>24</v>
      </c>
    </row>
    <row r="2" customFormat="false" ht="15" hidden="false" customHeight="false" outlineLevel="0" collapsed="false">
      <c r="A2" s="2" t="s">
        <v>1308</v>
      </c>
      <c r="B2" s="2" t="s">
        <v>25</v>
      </c>
      <c r="C2" s="2" t="s">
        <v>1309</v>
      </c>
      <c r="D2" s="3" t="s">
        <v>1310</v>
      </c>
      <c r="E2" s="2" t="s">
        <v>1311</v>
      </c>
      <c r="F2" s="4"/>
      <c r="G2" s="4"/>
    </row>
    <row r="3" customFormat="false" ht="23.85" hidden="false" customHeight="false" outlineLevel="0" collapsed="false">
      <c r="A3" s="2" t="s">
        <v>1308</v>
      </c>
      <c r="B3" s="2" t="s">
        <v>25</v>
      </c>
      <c r="C3" s="2" t="s">
        <v>1312</v>
      </c>
      <c r="D3" s="3" t="s">
        <v>1313</v>
      </c>
      <c r="E3" s="2"/>
      <c r="F3" s="4"/>
      <c r="G3" s="4"/>
    </row>
    <row r="4" customFormat="false" ht="15" hidden="false" customHeight="false" outlineLevel="0" collapsed="false">
      <c r="A4" s="2" t="s">
        <v>1308</v>
      </c>
      <c r="B4" s="2" t="s">
        <v>25</v>
      </c>
      <c r="C4" s="2" t="s">
        <v>1314</v>
      </c>
      <c r="D4" s="3" t="s">
        <v>1315</v>
      </c>
      <c r="E4" s="2"/>
      <c r="F4" s="4"/>
      <c r="G4" s="4"/>
    </row>
    <row r="5" customFormat="false" ht="23.85" hidden="false" customHeight="false" outlineLevel="0" collapsed="false">
      <c r="A5" s="2" t="s">
        <v>1308</v>
      </c>
      <c r="B5" s="2" t="s">
        <v>57</v>
      </c>
      <c r="C5" s="2" t="s">
        <v>1316</v>
      </c>
      <c r="D5" s="3" t="s">
        <v>1317</v>
      </c>
      <c r="E5" s="2"/>
      <c r="F5" s="4"/>
      <c r="G5" s="4"/>
    </row>
    <row r="6" customFormat="false" ht="15" hidden="false" customHeight="false" outlineLevel="0" collapsed="false">
      <c r="A6" s="2" t="s">
        <v>1308</v>
      </c>
      <c r="B6" s="2" t="s">
        <v>67</v>
      </c>
      <c r="C6" s="2" t="s">
        <v>1318</v>
      </c>
      <c r="D6" s="3" t="s">
        <v>1319</v>
      </c>
      <c r="E6" s="2"/>
      <c r="F6" s="4"/>
      <c r="G6" s="4"/>
    </row>
    <row r="7" customFormat="false" ht="15" hidden="false" customHeight="false" outlineLevel="0" collapsed="false">
      <c r="A7" s="2" t="s">
        <v>1308</v>
      </c>
      <c r="B7" s="2" t="s">
        <v>104</v>
      </c>
      <c r="C7" s="2" t="s">
        <v>1320</v>
      </c>
      <c r="D7" s="3" t="s">
        <v>1321</v>
      </c>
      <c r="E7" s="2"/>
      <c r="F7" s="4"/>
      <c r="G7" s="4"/>
    </row>
    <row r="8" customFormat="false" ht="23.85" hidden="false" customHeight="false" outlineLevel="0" collapsed="false">
      <c r="A8" s="2" t="s">
        <v>1308</v>
      </c>
      <c r="B8" s="2" t="s">
        <v>115</v>
      </c>
      <c r="C8" s="2" t="s">
        <v>1322</v>
      </c>
      <c r="D8" s="3" t="s">
        <v>1323</v>
      </c>
      <c r="E8" s="2"/>
      <c r="F8" s="4"/>
      <c r="G8" s="4"/>
    </row>
    <row r="9" customFormat="false" ht="15" hidden="false" customHeight="false" outlineLevel="0" collapsed="false">
      <c r="A9" s="2" t="s">
        <v>1308</v>
      </c>
      <c r="B9" s="2" t="s">
        <v>125</v>
      </c>
      <c r="C9" s="2" t="s">
        <v>1324</v>
      </c>
      <c r="D9" s="3" t="s">
        <v>1325</v>
      </c>
      <c r="E9" s="2"/>
      <c r="F9" s="4"/>
      <c r="G9" s="4"/>
    </row>
    <row r="10" customFormat="false" ht="23.85" hidden="false" customHeight="false" outlineLevel="0" collapsed="false">
      <c r="A10" s="2" t="s">
        <v>1308</v>
      </c>
      <c r="B10" s="2" t="s">
        <v>134</v>
      </c>
      <c r="C10" s="2" t="s">
        <v>1326</v>
      </c>
      <c r="D10" s="3" t="s">
        <v>1327</v>
      </c>
      <c r="E10" s="2"/>
      <c r="F10" s="4"/>
      <c r="G10" s="4"/>
    </row>
    <row r="11" customFormat="false" ht="15" hidden="false" customHeight="false" outlineLevel="0" collapsed="false">
      <c r="A11" s="2" t="s">
        <v>1308</v>
      </c>
      <c r="B11" s="2" t="s">
        <v>134</v>
      </c>
      <c r="C11" s="2" t="s">
        <v>1328</v>
      </c>
      <c r="D11" s="3" t="s">
        <v>1329</v>
      </c>
      <c r="E11" s="2" t="s">
        <v>1330</v>
      </c>
      <c r="F11" s="4"/>
      <c r="G11" s="4"/>
    </row>
    <row r="12" customFormat="false" ht="15" hidden="false" customHeight="false" outlineLevel="0" collapsed="false">
      <c r="A12" s="2" t="s">
        <v>1308</v>
      </c>
      <c r="B12" s="2" t="s">
        <v>143</v>
      </c>
      <c r="C12" s="2" t="s">
        <v>1331</v>
      </c>
      <c r="D12" s="3" t="s">
        <v>1332</v>
      </c>
      <c r="E12" s="2"/>
      <c r="F12" s="4"/>
      <c r="G12" s="4"/>
    </row>
    <row r="13" customFormat="false" ht="15" hidden="false" customHeight="false" outlineLevel="0" collapsed="false">
      <c r="A13" s="2" t="s">
        <v>1308</v>
      </c>
      <c r="B13" s="2" t="s">
        <v>329</v>
      </c>
      <c r="C13" s="2" t="s">
        <v>1333</v>
      </c>
      <c r="D13" s="3" t="s">
        <v>1325</v>
      </c>
      <c r="E13" s="2"/>
      <c r="F13" s="4"/>
      <c r="G13" s="4"/>
    </row>
    <row r="14" customFormat="false" ht="15" hidden="false" customHeight="false" outlineLevel="0" collapsed="false">
      <c r="A14" s="2" t="s">
        <v>1308</v>
      </c>
      <c r="B14" s="2" t="s">
        <v>339</v>
      </c>
      <c r="C14" s="2" t="s">
        <v>1334</v>
      </c>
      <c r="D14" s="3" t="s">
        <v>1335</v>
      </c>
      <c r="E14" s="2"/>
      <c r="F14" s="4"/>
      <c r="G14" s="4"/>
    </row>
    <row r="15" customFormat="false" ht="15" hidden="false" customHeight="false" outlineLevel="0" collapsed="false">
      <c r="A15" s="2" t="s">
        <v>1308</v>
      </c>
      <c r="B15" s="2" t="s">
        <v>349</v>
      </c>
      <c r="C15" s="2" t="s">
        <v>1336</v>
      </c>
      <c r="D15" s="3" t="s">
        <v>1337</v>
      </c>
      <c r="E15" s="2"/>
      <c r="F15" s="4"/>
      <c r="G15" s="4"/>
    </row>
    <row r="16" customFormat="false" ht="15" hidden="false" customHeight="false" outlineLevel="0" collapsed="false">
      <c r="A16" s="2" t="s">
        <v>1308</v>
      </c>
      <c r="B16" s="2" t="s">
        <v>358</v>
      </c>
      <c r="C16" s="2" t="s">
        <v>1338</v>
      </c>
      <c r="D16" s="3" t="s">
        <v>1339</v>
      </c>
      <c r="E16" s="2"/>
      <c r="F16" s="4"/>
      <c r="G16" s="4"/>
    </row>
    <row r="17" customFormat="false" ht="15" hidden="false" customHeight="false" outlineLevel="0" collapsed="false">
      <c r="A17" s="2" t="s">
        <v>1308</v>
      </c>
      <c r="B17" s="2" t="s">
        <v>368</v>
      </c>
      <c r="C17" s="2" t="s">
        <v>1340</v>
      </c>
      <c r="D17" s="3" t="s">
        <v>1339</v>
      </c>
      <c r="E17" s="2"/>
      <c r="F17" s="4"/>
      <c r="G17" s="4"/>
    </row>
    <row r="18" customFormat="false" ht="15" hidden="false" customHeight="false" outlineLevel="0" collapsed="false">
      <c r="A18" s="2" t="s">
        <v>1308</v>
      </c>
      <c r="B18" s="2" t="s">
        <v>379</v>
      </c>
      <c r="C18" s="2" t="s">
        <v>1341</v>
      </c>
      <c r="D18" s="3" t="s">
        <v>1342</v>
      </c>
      <c r="E18" s="2"/>
      <c r="F18" s="4"/>
      <c r="G18" s="4"/>
    </row>
    <row r="19" customFormat="false" ht="15" hidden="false" customHeight="false" outlineLevel="0" collapsed="false">
      <c r="A19" s="2" t="s">
        <v>1308</v>
      </c>
      <c r="B19" s="2" t="s">
        <v>663</v>
      </c>
      <c r="C19" s="2" t="s">
        <v>1343</v>
      </c>
      <c r="D19" s="3" t="s">
        <v>1344</v>
      </c>
      <c r="E19" s="2"/>
      <c r="F19" s="4"/>
      <c r="G19" s="4"/>
    </row>
    <row r="20" customFormat="false" ht="15" hidden="false" customHeight="false" outlineLevel="0" collapsed="false">
      <c r="A20" s="2" t="s">
        <v>1308</v>
      </c>
      <c r="B20" s="2" t="s">
        <v>673</v>
      </c>
      <c r="C20" s="2" t="s">
        <v>1345</v>
      </c>
      <c r="D20" s="3" t="s">
        <v>1346</v>
      </c>
      <c r="E20" s="2" t="s">
        <v>1347</v>
      </c>
      <c r="F20" s="4"/>
      <c r="G20" s="4"/>
    </row>
    <row r="21" customFormat="false" ht="15" hidden="false" customHeight="false" outlineLevel="0" collapsed="false">
      <c r="A21" s="2" t="s">
        <v>1308</v>
      </c>
      <c r="B21" s="2" t="s">
        <v>153</v>
      </c>
      <c r="C21" s="2" t="s">
        <v>1348</v>
      </c>
      <c r="D21" s="3" t="s">
        <v>1339</v>
      </c>
      <c r="E21" s="2"/>
      <c r="F21" s="4"/>
      <c r="G21" s="4"/>
    </row>
    <row r="22" customFormat="false" ht="15" hidden="false" customHeight="false" outlineLevel="0" collapsed="false">
      <c r="A22" s="2" t="s">
        <v>1308</v>
      </c>
      <c r="B22" s="2" t="s">
        <v>163</v>
      </c>
      <c r="C22" s="2" t="s">
        <v>1349</v>
      </c>
      <c r="D22" s="3" t="s">
        <v>1350</v>
      </c>
      <c r="E22" s="2"/>
      <c r="F22" s="4"/>
      <c r="G22" s="4"/>
    </row>
    <row r="23" customFormat="false" ht="15" hidden="false" customHeight="false" outlineLevel="0" collapsed="false">
      <c r="A23" s="2" t="s">
        <v>1308</v>
      </c>
      <c r="B23" s="2" t="s">
        <v>173</v>
      </c>
      <c r="C23" s="2" t="s">
        <v>1351</v>
      </c>
      <c r="D23" s="3" t="s">
        <v>1352</v>
      </c>
      <c r="E23" s="2"/>
      <c r="F23" s="4"/>
      <c r="G23" s="4"/>
    </row>
    <row r="24" customFormat="false" ht="15" hidden="false" customHeight="false" outlineLevel="0" collapsed="false">
      <c r="A24" s="2" t="s">
        <v>1308</v>
      </c>
      <c r="B24" s="2" t="s">
        <v>181</v>
      </c>
      <c r="C24" s="2" t="s">
        <v>1353</v>
      </c>
      <c r="D24" s="3" t="s">
        <v>1354</v>
      </c>
      <c r="E24" s="2"/>
      <c r="F24" s="4"/>
      <c r="G24" s="4"/>
    </row>
    <row r="25" customFormat="false" ht="15" hidden="false" customHeight="false" outlineLevel="0" collapsed="false">
      <c r="A25" s="2" t="s">
        <v>1308</v>
      </c>
      <c r="B25" s="2" t="s">
        <v>390</v>
      </c>
      <c r="C25" s="2" t="s">
        <v>1355</v>
      </c>
      <c r="D25" s="3" t="s">
        <v>1339</v>
      </c>
      <c r="E25" s="2"/>
      <c r="F25" s="4"/>
      <c r="G25" s="4"/>
    </row>
    <row r="26" customFormat="false" ht="15" hidden="false" customHeight="false" outlineLevel="0" collapsed="false">
      <c r="A26" s="2" t="s">
        <v>1308</v>
      </c>
      <c r="B26" s="2" t="s">
        <v>398</v>
      </c>
      <c r="C26" s="2" t="s">
        <v>1356</v>
      </c>
      <c r="D26" s="3" t="s">
        <v>1339</v>
      </c>
      <c r="E26" s="2"/>
      <c r="F26" s="4"/>
      <c r="G26" s="4"/>
    </row>
    <row r="27" customFormat="false" ht="15" hidden="false" customHeight="false" outlineLevel="0" collapsed="false">
      <c r="A27" s="2" t="s">
        <v>1308</v>
      </c>
      <c r="B27" s="2" t="s">
        <v>407</v>
      </c>
      <c r="C27" s="2" t="s">
        <v>1357</v>
      </c>
      <c r="D27" s="3" t="s">
        <v>1339</v>
      </c>
      <c r="E27" s="2"/>
      <c r="F27" s="4"/>
      <c r="G27" s="4"/>
    </row>
    <row r="28" customFormat="false" ht="15" hidden="false" customHeight="false" outlineLevel="0" collapsed="false">
      <c r="A28" s="2" t="s">
        <v>1308</v>
      </c>
      <c r="B28" s="2" t="s">
        <v>683</v>
      </c>
      <c r="C28" s="2" t="s">
        <v>1358</v>
      </c>
      <c r="D28" s="3" t="s">
        <v>1359</v>
      </c>
      <c r="E28" s="2"/>
      <c r="F28" s="4"/>
      <c r="G28" s="4"/>
    </row>
    <row r="29" customFormat="false" ht="15" hidden="false" customHeight="false" outlineLevel="0" collapsed="false">
      <c r="A29" s="2" t="s">
        <v>1308</v>
      </c>
      <c r="B29" s="2" t="s">
        <v>189</v>
      </c>
      <c r="C29" s="2" t="s">
        <v>1360</v>
      </c>
      <c r="D29" s="3" t="s">
        <v>1361</v>
      </c>
      <c r="E29" s="2"/>
      <c r="F29" s="4"/>
      <c r="G29" s="4"/>
    </row>
    <row r="30" customFormat="false" ht="23.85" hidden="false" customHeight="false" outlineLevel="0" collapsed="false">
      <c r="A30" s="2" t="s">
        <v>1308</v>
      </c>
      <c r="B30" s="2" t="s">
        <v>416</v>
      </c>
      <c r="C30" s="2" t="s">
        <v>1362</v>
      </c>
      <c r="D30" s="3" t="s">
        <v>1363</v>
      </c>
      <c r="E30" s="2"/>
      <c r="F30" s="4"/>
      <c r="G30" s="4"/>
    </row>
    <row r="31" customFormat="false" ht="15" hidden="false" customHeight="false" outlineLevel="0" collapsed="false">
      <c r="A31" s="2" t="s">
        <v>1308</v>
      </c>
      <c r="B31" s="2" t="s">
        <v>692</v>
      </c>
      <c r="C31" s="2" t="s">
        <v>1364</v>
      </c>
      <c r="D31" s="3" t="s">
        <v>1325</v>
      </c>
      <c r="E31" s="2"/>
      <c r="F31" s="4"/>
      <c r="G31" s="4"/>
    </row>
    <row r="32" customFormat="false" ht="15" hidden="false" customHeight="false" outlineLevel="0" collapsed="false">
      <c r="A32" s="2" t="s">
        <v>1308</v>
      </c>
      <c r="B32" s="2" t="s">
        <v>701</v>
      </c>
      <c r="C32" s="2" t="s">
        <v>1365</v>
      </c>
      <c r="D32" s="3" t="s">
        <v>1354</v>
      </c>
      <c r="E32" s="2"/>
      <c r="F32" s="4"/>
      <c r="G32" s="4"/>
    </row>
    <row r="33" customFormat="false" ht="15" hidden="false" customHeight="false" outlineLevel="0" collapsed="false">
      <c r="A33" s="2" t="s">
        <v>1308</v>
      </c>
      <c r="B33" s="2" t="s">
        <v>709</v>
      </c>
      <c r="C33" s="2" t="s">
        <v>1366</v>
      </c>
      <c r="D33" s="3" t="s">
        <v>1367</v>
      </c>
      <c r="E33" s="2"/>
      <c r="F33" s="4"/>
      <c r="G33" s="4"/>
    </row>
    <row r="34" customFormat="false" ht="15" hidden="false" customHeight="false" outlineLevel="0" collapsed="false">
      <c r="A34" s="2" t="s">
        <v>1308</v>
      </c>
      <c r="B34" s="2" t="s">
        <v>858</v>
      </c>
      <c r="C34" s="2" t="s">
        <v>1368</v>
      </c>
      <c r="D34" s="3" t="s">
        <v>1369</v>
      </c>
      <c r="E34" s="2"/>
      <c r="F34" s="4"/>
      <c r="G34" s="4"/>
    </row>
    <row r="35" customFormat="false" ht="15" hidden="false" customHeight="false" outlineLevel="0" collapsed="false">
      <c r="A35" s="2" t="s">
        <v>1308</v>
      </c>
      <c r="B35" s="2" t="s">
        <v>865</v>
      </c>
      <c r="C35" s="2" t="s">
        <v>1370</v>
      </c>
      <c r="D35" s="3" t="s">
        <v>1371</v>
      </c>
      <c r="E35" s="2"/>
      <c r="F35" s="4"/>
      <c r="G35" s="4"/>
    </row>
    <row r="36" customFormat="false" ht="15" hidden="false" customHeight="false" outlineLevel="0" collapsed="false">
      <c r="A36" s="2" t="s">
        <v>1308</v>
      </c>
      <c r="B36" s="2" t="s">
        <v>872</v>
      </c>
      <c r="C36" s="2" t="s">
        <v>1372</v>
      </c>
      <c r="D36" s="3" t="s">
        <v>1371</v>
      </c>
      <c r="E36" s="2"/>
      <c r="F36" s="4"/>
      <c r="G36" s="4"/>
    </row>
    <row r="37" customFormat="false" ht="15" hidden="false" customHeight="false" outlineLevel="0" collapsed="false">
      <c r="A37" s="2" t="s">
        <v>1308</v>
      </c>
      <c r="B37" s="2" t="s">
        <v>880</v>
      </c>
      <c r="C37" s="2" t="s">
        <v>1373</v>
      </c>
      <c r="D37" s="3" t="s">
        <v>1371</v>
      </c>
      <c r="E37" s="2"/>
      <c r="F37" s="4"/>
      <c r="G37" s="4"/>
    </row>
    <row r="38" customFormat="false" ht="15" hidden="false" customHeight="false" outlineLevel="0" collapsed="false">
      <c r="A38" s="2" t="s">
        <v>1308</v>
      </c>
      <c r="B38" s="2" t="s">
        <v>888</v>
      </c>
      <c r="C38" s="2" t="s">
        <v>1374</v>
      </c>
      <c r="D38" s="3" t="s">
        <v>1369</v>
      </c>
      <c r="E38" s="2"/>
      <c r="F38" s="4"/>
      <c r="G38" s="4"/>
    </row>
    <row r="39" customFormat="false" ht="15" hidden="false" customHeight="false" outlineLevel="0" collapsed="false">
      <c r="A39" s="2" t="s">
        <v>1308</v>
      </c>
      <c r="B39" s="2" t="s">
        <v>896</v>
      </c>
      <c r="C39" s="2" t="s">
        <v>1375</v>
      </c>
      <c r="D39" s="3" t="s">
        <v>1339</v>
      </c>
      <c r="E39" s="2"/>
      <c r="F39" s="4"/>
      <c r="G39" s="4"/>
    </row>
    <row r="40" customFormat="false" ht="15" hidden="false" customHeight="false" outlineLevel="0" collapsed="false">
      <c r="A40" s="2" t="s">
        <v>1308</v>
      </c>
      <c r="B40" s="2" t="s">
        <v>904</v>
      </c>
      <c r="C40" s="2" t="s">
        <v>1376</v>
      </c>
      <c r="D40" s="3" t="s">
        <v>1369</v>
      </c>
      <c r="E40" s="2"/>
      <c r="F40" s="4"/>
      <c r="G40" s="4"/>
    </row>
    <row r="41" customFormat="false" ht="15" hidden="false" customHeight="false" outlineLevel="0" collapsed="false">
      <c r="A41" s="2" t="s">
        <v>1308</v>
      </c>
      <c r="B41" s="2" t="s">
        <v>912</v>
      </c>
      <c r="C41" s="2" t="s">
        <v>1377</v>
      </c>
      <c r="D41" s="3" t="s">
        <v>1369</v>
      </c>
      <c r="E41" s="2"/>
      <c r="F41" s="4"/>
      <c r="G41" s="4"/>
    </row>
    <row r="42" customFormat="false" ht="15" hidden="false" customHeight="false" outlineLevel="0" collapsed="false">
      <c r="A42" s="2" t="s">
        <v>1308</v>
      </c>
      <c r="B42" s="2" t="s">
        <v>921</v>
      </c>
      <c r="C42" s="2" t="s">
        <v>1378</v>
      </c>
      <c r="D42" s="3" t="s">
        <v>1371</v>
      </c>
      <c r="E42" s="2"/>
      <c r="F42" s="4"/>
      <c r="G42" s="4"/>
    </row>
    <row r="43" customFormat="false" ht="15" hidden="false" customHeight="false" outlineLevel="0" collapsed="false">
      <c r="A43" s="2" t="s">
        <v>1308</v>
      </c>
      <c r="B43" s="2" t="s">
        <v>77</v>
      </c>
      <c r="C43" s="2" t="s">
        <v>1379</v>
      </c>
      <c r="D43" s="3" t="s">
        <v>1339</v>
      </c>
      <c r="E43" s="2"/>
      <c r="F43" s="4"/>
      <c r="G43" s="4"/>
    </row>
    <row r="44" customFormat="false" ht="15" hidden="false" customHeight="false" outlineLevel="0" collapsed="false">
      <c r="A44" s="2" t="s">
        <v>1308</v>
      </c>
      <c r="B44" s="2" t="s">
        <v>199</v>
      </c>
      <c r="C44" s="2" t="s">
        <v>1380</v>
      </c>
      <c r="D44" s="3" t="s">
        <v>1325</v>
      </c>
      <c r="E44" s="2"/>
      <c r="F44" s="4"/>
      <c r="G44" s="4"/>
    </row>
    <row r="45" customFormat="false" ht="15" hidden="false" customHeight="false" outlineLevel="0" collapsed="false">
      <c r="A45" s="2" t="s">
        <v>1308</v>
      </c>
      <c r="B45" s="2" t="s">
        <v>426</v>
      </c>
      <c r="C45" s="2" t="s">
        <v>1381</v>
      </c>
      <c r="D45" s="3" t="s">
        <v>1382</v>
      </c>
      <c r="E45" s="2"/>
      <c r="F45" s="4"/>
      <c r="G45" s="4"/>
    </row>
    <row r="46" customFormat="false" ht="15" hidden="false" customHeight="false" outlineLevel="0" collapsed="false">
      <c r="A46" s="2" t="s">
        <v>1308</v>
      </c>
      <c r="B46" s="2" t="s">
        <v>434</v>
      </c>
      <c r="C46" s="2" t="s">
        <v>1383</v>
      </c>
      <c r="D46" s="3" t="s">
        <v>1325</v>
      </c>
      <c r="E46" s="2"/>
      <c r="F46" s="4"/>
      <c r="G46" s="4"/>
    </row>
    <row r="47" customFormat="false" ht="15" hidden="false" customHeight="false" outlineLevel="0" collapsed="false">
      <c r="A47" s="2" t="s">
        <v>1308</v>
      </c>
      <c r="B47" s="2" t="s">
        <v>442</v>
      </c>
      <c r="C47" s="2" t="s">
        <v>1384</v>
      </c>
      <c r="D47" s="3" t="s">
        <v>1325</v>
      </c>
      <c r="E47" s="2"/>
      <c r="F47" s="4"/>
      <c r="G47" s="4"/>
    </row>
    <row r="48" customFormat="false" ht="15" hidden="false" customHeight="false" outlineLevel="0" collapsed="false">
      <c r="A48" s="2" t="s">
        <v>1308</v>
      </c>
      <c r="B48" s="2" t="s">
        <v>450</v>
      </c>
      <c r="C48" s="2" t="s">
        <v>1385</v>
      </c>
      <c r="D48" s="3" t="s">
        <v>1386</v>
      </c>
      <c r="E48" s="2"/>
      <c r="F48" s="4"/>
      <c r="G48" s="4"/>
    </row>
    <row r="49" customFormat="false" ht="15" hidden="false" customHeight="false" outlineLevel="0" collapsed="false">
      <c r="A49" s="2" t="s">
        <v>1308</v>
      </c>
      <c r="B49" s="2" t="s">
        <v>460</v>
      </c>
      <c r="C49" s="2" t="s">
        <v>1387</v>
      </c>
      <c r="D49" s="3" t="s">
        <v>1371</v>
      </c>
      <c r="E49" s="2"/>
      <c r="F49" s="4"/>
      <c r="G49" s="4"/>
    </row>
    <row r="50" customFormat="false" ht="15" hidden="false" customHeight="false" outlineLevel="0" collapsed="false">
      <c r="A50" s="2" t="s">
        <v>1308</v>
      </c>
      <c r="B50" s="2" t="s">
        <v>469</v>
      </c>
      <c r="C50" s="2" t="s">
        <v>1388</v>
      </c>
      <c r="D50" s="3" t="s">
        <v>1332</v>
      </c>
      <c r="E50" s="2"/>
      <c r="F50" s="4"/>
      <c r="G50" s="4"/>
    </row>
    <row r="51" customFormat="false" ht="15" hidden="false" customHeight="false" outlineLevel="0" collapsed="false">
      <c r="A51" s="2" t="s">
        <v>1308</v>
      </c>
      <c r="B51" s="2" t="s">
        <v>731</v>
      </c>
      <c r="C51" s="2" t="s">
        <v>1389</v>
      </c>
      <c r="D51" s="3" t="s">
        <v>1390</v>
      </c>
      <c r="E51" s="2"/>
      <c r="F51" s="4"/>
      <c r="G51" s="4"/>
    </row>
    <row r="52" customFormat="false" ht="15" hidden="false" customHeight="false" outlineLevel="0" collapsed="false">
      <c r="A52" s="2" t="s">
        <v>1308</v>
      </c>
      <c r="B52" s="2" t="s">
        <v>930</v>
      </c>
      <c r="C52" s="2" t="s">
        <v>1391</v>
      </c>
      <c r="D52" s="3" t="s">
        <v>1339</v>
      </c>
      <c r="E52" s="2"/>
      <c r="F52" s="4"/>
      <c r="G52" s="4"/>
    </row>
    <row r="53" customFormat="false" ht="15" hidden="false" customHeight="false" outlineLevel="0" collapsed="false">
      <c r="A53" s="2" t="s">
        <v>1308</v>
      </c>
      <c r="B53" s="2" t="s">
        <v>219</v>
      </c>
      <c r="C53" s="2" t="s">
        <v>1392</v>
      </c>
      <c r="D53" s="3" t="s">
        <v>1332</v>
      </c>
      <c r="E53" s="2"/>
      <c r="F53" s="4"/>
      <c r="G53" s="4"/>
    </row>
    <row r="54" customFormat="false" ht="15" hidden="false" customHeight="false" outlineLevel="0" collapsed="false">
      <c r="A54" s="2" t="s">
        <v>1308</v>
      </c>
      <c r="B54" s="2" t="s">
        <v>229</v>
      </c>
      <c r="C54" s="2" t="s">
        <v>1393</v>
      </c>
      <c r="D54" s="3" t="s">
        <v>1339</v>
      </c>
      <c r="E54" s="2"/>
      <c r="F54" s="4"/>
      <c r="G54" s="4"/>
    </row>
    <row r="55" customFormat="false" ht="15" hidden="false" customHeight="false" outlineLevel="0" collapsed="false">
      <c r="A55" s="2" t="s">
        <v>1308</v>
      </c>
      <c r="B55" s="2" t="s">
        <v>486</v>
      </c>
      <c r="C55" s="2" t="s">
        <v>1394</v>
      </c>
      <c r="D55" s="3" t="s">
        <v>1395</v>
      </c>
      <c r="E55" s="2"/>
      <c r="F55" s="4"/>
      <c r="G55" s="4"/>
    </row>
    <row r="56" customFormat="false" ht="15" hidden="false" customHeight="false" outlineLevel="0" collapsed="false">
      <c r="A56" s="2" t="s">
        <v>1308</v>
      </c>
      <c r="B56" s="2" t="s">
        <v>495</v>
      </c>
      <c r="C56" s="2" t="s">
        <v>1396</v>
      </c>
      <c r="D56" s="3" t="s">
        <v>1397</v>
      </c>
      <c r="E56" s="2"/>
      <c r="F56" s="4"/>
      <c r="G56" s="4"/>
    </row>
    <row r="57" customFormat="false" ht="15" hidden="false" customHeight="false" outlineLevel="0" collapsed="false">
      <c r="A57" s="2" t="s">
        <v>1308</v>
      </c>
      <c r="B57" s="2" t="s">
        <v>504</v>
      </c>
      <c r="C57" s="2" t="s">
        <v>1398</v>
      </c>
      <c r="D57" s="3" t="s">
        <v>1325</v>
      </c>
      <c r="E57" s="2"/>
      <c r="F57" s="4"/>
      <c r="G57" s="4"/>
    </row>
    <row r="58" customFormat="false" ht="15" hidden="false" customHeight="false" outlineLevel="0" collapsed="false">
      <c r="A58" s="2" t="s">
        <v>1308</v>
      </c>
      <c r="B58" s="2" t="s">
        <v>514</v>
      </c>
      <c r="C58" s="2" t="s">
        <v>1399</v>
      </c>
      <c r="D58" s="3" t="s">
        <v>1400</v>
      </c>
      <c r="E58" s="2"/>
      <c r="F58" s="4"/>
      <c r="G58" s="4"/>
    </row>
    <row r="59" customFormat="false" ht="15" hidden="false" customHeight="false" outlineLevel="0" collapsed="false">
      <c r="A59" s="2" t="s">
        <v>1308</v>
      </c>
      <c r="B59" s="2" t="s">
        <v>86</v>
      </c>
      <c r="C59" s="2" t="s">
        <v>1401</v>
      </c>
      <c r="D59" s="3" t="s">
        <v>1346</v>
      </c>
      <c r="E59" s="2"/>
      <c r="F59" s="4"/>
      <c r="G59" s="4"/>
    </row>
    <row r="60" customFormat="false" ht="15" hidden="false" customHeight="false" outlineLevel="0" collapsed="false">
      <c r="A60" s="2" t="s">
        <v>1308</v>
      </c>
      <c r="B60" s="2" t="s">
        <v>532</v>
      </c>
      <c r="C60" s="2" t="s">
        <v>1402</v>
      </c>
      <c r="D60" s="3" t="s">
        <v>1403</v>
      </c>
      <c r="E60" s="2"/>
      <c r="F60" s="4"/>
      <c r="G60" s="4"/>
    </row>
    <row r="61" customFormat="false" ht="15" hidden="false" customHeight="false" outlineLevel="0" collapsed="false">
      <c r="A61" s="2" t="s">
        <v>1308</v>
      </c>
      <c r="B61" s="2" t="s">
        <v>541</v>
      </c>
      <c r="C61" s="2" t="s">
        <v>1404</v>
      </c>
      <c r="D61" s="3" t="s">
        <v>1405</v>
      </c>
      <c r="E61" s="2"/>
      <c r="F61" s="4"/>
      <c r="G61" s="4"/>
    </row>
    <row r="62" customFormat="false" ht="15" hidden="false" customHeight="false" outlineLevel="0" collapsed="false">
      <c r="A62" s="2" t="s">
        <v>1308</v>
      </c>
      <c r="B62" s="2" t="s">
        <v>635</v>
      </c>
      <c r="C62" s="2" t="s">
        <v>1406</v>
      </c>
      <c r="D62" s="3" t="s">
        <v>1339</v>
      </c>
      <c r="E62" s="2"/>
      <c r="F62" s="4"/>
      <c r="G62" s="4"/>
    </row>
    <row r="63" customFormat="false" ht="15" hidden="false" customHeight="false" outlineLevel="0" collapsed="false">
      <c r="A63" s="2" t="s">
        <v>1308</v>
      </c>
      <c r="B63" s="2" t="s">
        <v>957</v>
      </c>
      <c r="C63" s="2" t="s">
        <v>1407</v>
      </c>
      <c r="D63" s="3" t="s">
        <v>1408</v>
      </c>
      <c r="E63" s="2"/>
      <c r="F63" s="4"/>
      <c r="G63" s="4"/>
    </row>
    <row r="64" customFormat="false" ht="15" hidden="false" customHeight="false" outlineLevel="0" collapsed="false">
      <c r="A64" s="2" t="s">
        <v>1308</v>
      </c>
      <c r="B64" s="2" t="s">
        <v>255</v>
      </c>
      <c r="C64" s="2" t="s">
        <v>1409</v>
      </c>
      <c r="D64" s="3" t="s">
        <v>1332</v>
      </c>
      <c r="E64" s="2"/>
      <c r="F64" s="4"/>
      <c r="G64" s="4"/>
    </row>
    <row r="65" customFormat="false" ht="15" hidden="false" customHeight="false" outlineLevel="0" collapsed="false">
      <c r="A65" s="2" t="s">
        <v>1308</v>
      </c>
      <c r="B65" s="2" t="s">
        <v>255</v>
      </c>
      <c r="C65" s="2" t="s">
        <v>1410</v>
      </c>
      <c r="D65" s="3" t="s">
        <v>1411</v>
      </c>
      <c r="E65" s="2"/>
      <c r="F65" s="4"/>
      <c r="G65" s="4"/>
    </row>
    <row r="66" customFormat="false" ht="15" hidden="false" customHeight="false" outlineLevel="0" collapsed="false">
      <c r="A66" s="2" t="s">
        <v>1308</v>
      </c>
      <c r="B66" s="2" t="s">
        <v>264</v>
      </c>
      <c r="C66" s="2" t="s">
        <v>1412</v>
      </c>
      <c r="D66" s="3" t="s">
        <v>1337</v>
      </c>
      <c r="E66" s="2"/>
      <c r="F66" s="4"/>
      <c r="G66" s="4"/>
    </row>
    <row r="67" customFormat="false" ht="15" hidden="false" customHeight="false" outlineLevel="0" collapsed="false">
      <c r="A67" s="2" t="s">
        <v>1308</v>
      </c>
      <c r="B67" s="2" t="s">
        <v>550</v>
      </c>
      <c r="C67" s="2" t="s">
        <v>1413</v>
      </c>
      <c r="D67" s="3" t="s">
        <v>1414</v>
      </c>
      <c r="E67" s="2"/>
      <c r="F67" s="4"/>
      <c r="G67" s="4"/>
    </row>
    <row r="68" customFormat="false" ht="15" hidden="false" customHeight="false" outlineLevel="0" collapsed="false">
      <c r="A68" s="2" t="s">
        <v>1308</v>
      </c>
      <c r="B68" s="2" t="s">
        <v>763</v>
      </c>
      <c r="C68" s="2" t="s">
        <v>1415</v>
      </c>
      <c r="D68" s="3" t="s">
        <v>1319</v>
      </c>
      <c r="E68" s="2"/>
      <c r="F68" s="4"/>
      <c r="G68" s="4"/>
    </row>
    <row r="69" customFormat="false" ht="15" hidden="false" customHeight="false" outlineLevel="0" collapsed="false">
      <c r="A69" s="2" t="s">
        <v>1308</v>
      </c>
      <c r="B69" s="2" t="s">
        <v>981</v>
      </c>
      <c r="C69" s="2" t="s">
        <v>1416</v>
      </c>
      <c r="D69" s="3" t="s">
        <v>1337</v>
      </c>
      <c r="E69" s="2"/>
      <c r="F69" s="4"/>
      <c r="G69" s="4"/>
    </row>
    <row r="70" customFormat="false" ht="15" hidden="false" customHeight="false" outlineLevel="0" collapsed="false">
      <c r="A70" s="2" t="s">
        <v>1308</v>
      </c>
      <c r="B70" s="2" t="s">
        <v>274</v>
      </c>
      <c r="C70" s="2" t="s">
        <v>1417</v>
      </c>
      <c r="D70" s="3" t="s">
        <v>1418</v>
      </c>
      <c r="E70" s="2"/>
      <c r="F70" s="4"/>
      <c r="G70" s="4"/>
    </row>
    <row r="71" customFormat="false" ht="15" hidden="false" customHeight="false" outlineLevel="0" collapsed="false">
      <c r="A71" s="2" t="s">
        <v>1308</v>
      </c>
      <c r="B71" s="2" t="s">
        <v>283</v>
      </c>
      <c r="C71" s="2" t="s">
        <v>1419</v>
      </c>
      <c r="D71" s="3" t="s">
        <v>1325</v>
      </c>
      <c r="E71" s="2"/>
      <c r="F71" s="4"/>
      <c r="G71" s="4"/>
    </row>
    <row r="72" customFormat="false" ht="15" hidden="false" customHeight="false" outlineLevel="0" collapsed="false">
      <c r="A72" s="2" t="s">
        <v>1308</v>
      </c>
      <c r="B72" s="2" t="s">
        <v>292</v>
      </c>
      <c r="C72" s="2" t="s">
        <v>1420</v>
      </c>
      <c r="D72" s="3" t="s">
        <v>1339</v>
      </c>
      <c r="E72" s="2"/>
      <c r="F72" s="4"/>
      <c r="G72" s="4"/>
    </row>
    <row r="73" customFormat="false" ht="15" hidden="false" customHeight="false" outlineLevel="0" collapsed="false">
      <c r="A73" s="2" t="s">
        <v>1308</v>
      </c>
      <c r="B73" s="2" t="s">
        <v>301</v>
      </c>
      <c r="C73" s="2" t="s">
        <v>1421</v>
      </c>
      <c r="D73" s="3" t="s">
        <v>1422</v>
      </c>
      <c r="E73" s="2"/>
      <c r="F73" s="4"/>
      <c r="G73" s="4"/>
    </row>
    <row r="74" customFormat="false" ht="15" hidden="false" customHeight="false" outlineLevel="0" collapsed="false">
      <c r="A74" s="2" t="s">
        <v>1308</v>
      </c>
      <c r="B74" s="2" t="s">
        <v>568</v>
      </c>
      <c r="C74" s="2" t="s">
        <v>1423</v>
      </c>
      <c r="D74" s="3" t="s">
        <v>1424</v>
      </c>
      <c r="E74" s="2"/>
      <c r="F74" s="4"/>
      <c r="G74" s="4"/>
    </row>
    <row r="75" customFormat="false" ht="15" hidden="false" customHeight="false" outlineLevel="0" collapsed="false">
      <c r="A75" s="2" t="s">
        <v>1308</v>
      </c>
      <c r="B75" s="2" t="s">
        <v>578</v>
      </c>
      <c r="C75" s="2" t="s">
        <v>1425</v>
      </c>
      <c r="D75" s="3" t="s">
        <v>1426</v>
      </c>
      <c r="E75" s="2" t="s">
        <v>1427</v>
      </c>
      <c r="F75" s="4"/>
      <c r="G75" s="4"/>
    </row>
    <row r="76" customFormat="false" ht="15" hidden="false" customHeight="false" outlineLevel="0" collapsed="false">
      <c r="A76" s="2" t="s">
        <v>1308</v>
      </c>
      <c r="B76" s="2" t="s">
        <v>587</v>
      </c>
      <c r="C76" s="2" t="s">
        <v>1428</v>
      </c>
      <c r="D76" s="3" t="s">
        <v>1429</v>
      </c>
      <c r="E76" s="2"/>
      <c r="F76" s="4"/>
      <c r="G76" s="4"/>
    </row>
    <row r="77" customFormat="false" ht="15" hidden="false" customHeight="false" outlineLevel="0" collapsed="false">
      <c r="A77" s="2" t="s">
        <v>1308</v>
      </c>
      <c r="B77" s="2" t="s">
        <v>596</v>
      </c>
      <c r="C77" s="2" t="s">
        <v>1430</v>
      </c>
      <c r="D77" s="3" t="s">
        <v>1352</v>
      </c>
      <c r="E77" s="2"/>
      <c r="F77" s="4"/>
      <c r="G77" s="4"/>
    </row>
    <row r="78" customFormat="false" ht="15" hidden="false" customHeight="false" outlineLevel="0" collapsed="false">
      <c r="A78" s="2" t="s">
        <v>1308</v>
      </c>
      <c r="B78" s="2" t="s">
        <v>772</v>
      </c>
      <c r="C78" s="2" t="s">
        <v>1431</v>
      </c>
      <c r="D78" s="3" t="s">
        <v>1339</v>
      </c>
      <c r="E78" s="2"/>
      <c r="F78" s="4"/>
      <c r="G78" s="4"/>
    </row>
    <row r="79" customFormat="false" ht="15" hidden="false" customHeight="false" outlineLevel="0" collapsed="false">
      <c r="A79" s="2" t="s">
        <v>1308</v>
      </c>
      <c r="B79" s="2" t="s">
        <v>1012</v>
      </c>
      <c r="C79" s="2" t="s">
        <v>1432</v>
      </c>
      <c r="D79" s="3" t="s">
        <v>1342</v>
      </c>
      <c r="E79" s="2"/>
      <c r="F79" s="4"/>
      <c r="G79" s="4"/>
    </row>
    <row r="80" customFormat="false" ht="15" hidden="false" customHeight="false" outlineLevel="0" collapsed="false">
      <c r="A80" s="2" t="s">
        <v>1308</v>
      </c>
      <c r="B80" s="2" t="s">
        <v>789</v>
      </c>
      <c r="C80" s="2" t="s">
        <v>1433</v>
      </c>
      <c r="D80" s="3" t="s">
        <v>1434</v>
      </c>
      <c r="E80" s="2"/>
      <c r="F80" s="4"/>
      <c r="G80" s="4"/>
    </row>
    <row r="81" customFormat="false" ht="15" hidden="false" customHeight="false" outlineLevel="0" collapsed="false">
      <c r="A81" s="2" t="s">
        <v>1308</v>
      </c>
      <c r="B81" s="2" t="s">
        <v>1020</v>
      </c>
      <c r="C81" s="2" t="s">
        <v>1435</v>
      </c>
      <c r="D81" s="3" t="s">
        <v>1325</v>
      </c>
      <c r="E81" s="2"/>
      <c r="F81" s="4"/>
      <c r="G81" s="4"/>
    </row>
    <row r="82" customFormat="false" ht="15" hidden="false" customHeight="false" outlineLevel="0" collapsed="false">
      <c r="A82" s="2" t="s">
        <v>1308</v>
      </c>
      <c r="B82" s="2" t="s">
        <v>37</v>
      </c>
      <c r="C82" s="2" t="s">
        <v>1436</v>
      </c>
      <c r="D82" s="3" t="s">
        <v>1437</v>
      </c>
      <c r="E82" s="2"/>
      <c r="F82" s="4"/>
      <c r="G82" s="4"/>
    </row>
    <row r="83" customFormat="false" ht="15" hidden="false" customHeight="false" outlineLevel="0" collapsed="false">
      <c r="A83" s="2" t="s">
        <v>1308</v>
      </c>
      <c r="B83" s="2" t="s">
        <v>47</v>
      </c>
      <c r="C83" s="2" t="s">
        <v>1438</v>
      </c>
      <c r="D83" s="3" t="s">
        <v>1439</v>
      </c>
      <c r="E83" s="2"/>
      <c r="F83" s="4"/>
      <c r="G83" s="4"/>
    </row>
    <row r="84" customFormat="false" ht="15" hidden="false" customHeight="false" outlineLevel="0" collapsed="false">
      <c r="A84" s="2" t="s">
        <v>1308</v>
      </c>
      <c r="B84" s="2" t="s">
        <v>95</v>
      </c>
      <c r="C84" s="2" t="s">
        <v>1440</v>
      </c>
      <c r="D84" s="3" t="s">
        <v>1441</v>
      </c>
      <c r="E84" s="2" t="s">
        <v>1442</v>
      </c>
      <c r="F84" s="4"/>
      <c r="G84" s="4"/>
    </row>
    <row r="85" customFormat="false" ht="15" hidden="false" customHeight="false" outlineLevel="0" collapsed="false">
      <c r="A85" s="2" t="s">
        <v>1308</v>
      </c>
      <c r="B85" s="2" t="s">
        <v>95</v>
      </c>
      <c r="C85" s="2" t="s">
        <v>1443</v>
      </c>
      <c r="D85" s="3" t="s">
        <v>1332</v>
      </c>
      <c r="E85" s="2"/>
      <c r="F85" s="4"/>
      <c r="G85" s="4"/>
    </row>
    <row r="86" customFormat="false" ht="15" hidden="false" customHeight="false" outlineLevel="0" collapsed="false">
      <c r="A86" s="2" t="s">
        <v>1308</v>
      </c>
      <c r="B86" s="2" t="s">
        <v>320</v>
      </c>
      <c r="C86" s="2" t="s">
        <v>1444</v>
      </c>
      <c r="D86" s="3" t="s">
        <v>1445</v>
      </c>
      <c r="E86" s="2" t="s">
        <v>1446</v>
      </c>
      <c r="F86" s="4"/>
      <c r="G86" s="4"/>
    </row>
    <row r="87" customFormat="false" ht="15" hidden="false" customHeight="false" outlineLevel="0" collapsed="false">
      <c r="A87" s="2" t="s">
        <v>1308</v>
      </c>
      <c r="B87" s="2" t="s">
        <v>320</v>
      </c>
      <c r="C87" s="2" t="s">
        <v>1447</v>
      </c>
      <c r="D87" s="3" t="s">
        <v>1332</v>
      </c>
      <c r="E87" s="2" t="s">
        <v>1448</v>
      </c>
      <c r="F87" s="4"/>
      <c r="G87" s="4"/>
    </row>
    <row r="88" customFormat="false" ht="15" hidden="false" customHeight="false" outlineLevel="0" collapsed="false">
      <c r="A88" s="2" t="s">
        <v>1308</v>
      </c>
      <c r="B88" s="2" t="s">
        <v>219</v>
      </c>
      <c r="C88" s="2" t="s">
        <v>1449</v>
      </c>
      <c r="D88" s="3" t="s">
        <v>1450</v>
      </c>
      <c r="E88" s="2"/>
      <c r="F88" s="4"/>
      <c r="G88" s="4"/>
    </row>
    <row r="89" customFormat="false" ht="15" hidden="false" customHeight="false" outlineLevel="0" collapsed="false">
      <c r="A89" s="2" t="s">
        <v>1308</v>
      </c>
      <c r="B89" s="2" t="s">
        <v>644</v>
      </c>
      <c r="C89" s="2" t="s">
        <v>1451</v>
      </c>
      <c r="D89" s="3" t="s">
        <v>1339</v>
      </c>
      <c r="E89" s="2"/>
      <c r="F89" s="4"/>
      <c r="G89" s="4"/>
    </row>
    <row r="90" customFormat="false" ht="15" hidden="false" customHeight="false" outlineLevel="0" collapsed="false">
      <c r="A90" s="2" t="s">
        <v>1308</v>
      </c>
      <c r="B90" s="2" t="s">
        <v>840</v>
      </c>
      <c r="C90" s="2" t="s">
        <v>1452</v>
      </c>
      <c r="D90" s="3" t="s">
        <v>1429</v>
      </c>
      <c r="E90" s="2"/>
      <c r="F90" s="4"/>
      <c r="G90" s="4"/>
    </row>
    <row r="91" customFormat="false" ht="15" hidden="false" customHeight="false" outlineLevel="0" collapsed="false">
      <c r="A91" s="2" t="s">
        <v>1308</v>
      </c>
      <c r="B91" s="2" t="s">
        <v>1039</v>
      </c>
      <c r="C91" s="2" t="s">
        <v>1453</v>
      </c>
      <c r="D91" s="3" t="s">
        <v>1319</v>
      </c>
      <c r="E91" s="2"/>
      <c r="F91" s="4"/>
      <c r="G91" s="4"/>
    </row>
    <row r="92" customFormat="false" ht="15" hidden="false" customHeight="false" outlineLevel="0" collapsed="false">
      <c r="A92" s="2" t="s">
        <v>1308</v>
      </c>
      <c r="B92" s="2" t="s">
        <v>310</v>
      </c>
      <c r="C92" s="2" t="s">
        <v>1454</v>
      </c>
      <c r="D92" s="3" t="s">
        <v>1455</v>
      </c>
      <c r="E92" s="2"/>
      <c r="F92" s="4"/>
      <c r="G92" s="4"/>
    </row>
    <row r="93" customFormat="false" ht="15" hidden="false" customHeight="false" outlineLevel="0" collapsed="false">
      <c r="A93" s="2" t="s">
        <v>1308</v>
      </c>
      <c r="B93" s="2" t="s">
        <v>605</v>
      </c>
      <c r="C93" s="2" t="s">
        <v>1456</v>
      </c>
      <c r="D93" s="3" t="s">
        <v>1325</v>
      </c>
      <c r="E93" s="2"/>
      <c r="F93" s="4"/>
      <c r="G93" s="4"/>
    </row>
    <row r="94" customFormat="false" ht="15" hidden="false" customHeight="false" outlineLevel="0" collapsed="false">
      <c r="A94" s="2" t="s">
        <v>1308</v>
      </c>
      <c r="B94" s="2" t="s">
        <v>615</v>
      </c>
      <c r="C94" s="2" t="s">
        <v>1457</v>
      </c>
      <c r="D94" s="3" t="s">
        <v>1339</v>
      </c>
      <c r="E94" s="2"/>
      <c r="F94" s="4"/>
      <c r="G94" s="4"/>
    </row>
    <row r="95" customFormat="false" ht="15" hidden="false" customHeight="false" outlineLevel="0" collapsed="false">
      <c r="A95" s="2" t="s">
        <v>1308</v>
      </c>
      <c r="B95" s="2" t="s">
        <v>625</v>
      </c>
      <c r="C95" s="2" t="s">
        <v>1458</v>
      </c>
      <c r="D95" s="3" t="s">
        <v>1342</v>
      </c>
      <c r="E95" s="2"/>
      <c r="F95" s="4"/>
      <c r="G95" s="4"/>
    </row>
    <row r="96" customFormat="false" ht="15" hidden="false" customHeight="false" outlineLevel="0" collapsed="false">
      <c r="A96" s="2" t="s">
        <v>1308</v>
      </c>
      <c r="B96" s="2" t="s">
        <v>797</v>
      </c>
      <c r="C96" s="2" t="s">
        <v>1459</v>
      </c>
      <c r="D96" s="3" t="s">
        <v>1339</v>
      </c>
      <c r="E96" s="2"/>
      <c r="F96" s="4"/>
      <c r="G96" s="4"/>
    </row>
    <row r="97" customFormat="false" ht="15" hidden="false" customHeight="false" outlineLevel="0" collapsed="false">
      <c r="A97" s="2" t="s">
        <v>1308</v>
      </c>
      <c r="B97" s="2" t="s">
        <v>806</v>
      </c>
      <c r="C97" s="2" t="s">
        <v>1460</v>
      </c>
      <c r="D97" s="3" t="s">
        <v>1461</v>
      </c>
      <c r="E97" s="2"/>
      <c r="F97" s="4"/>
      <c r="G97" s="4"/>
    </row>
    <row r="98" customFormat="false" ht="15" hidden="false" customHeight="false" outlineLevel="0" collapsed="false">
      <c r="A98" s="2" t="s">
        <v>1308</v>
      </c>
      <c r="B98" s="2" t="s">
        <v>814</v>
      </c>
      <c r="C98" s="2" t="s">
        <v>1462</v>
      </c>
      <c r="D98" s="3" t="s">
        <v>1463</v>
      </c>
      <c r="E98" s="2"/>
      <c r="F98" s="4"/>
      <c r="G98" s="4"/>
    </row>
    <row r="99" customFormat="false" ht="15" hidden="false" customHeight="false" outlineLevel="0" collapsed="false">
      <c r="A99" s="2" t="s">
        <v>1308</v>
      </c>
      <c r="B99" s="2" t="s">
        <v>823</v>
      </c>
      <c r="C99" s="2" t="s">
        <v>1464</v>
      </c>
      <c r="D99" s="3" t="s">
        <v>1332</v>
      </c>
      <c r="E99" s="2"/>
      <c r="F99" s="4"/>
      <c r="G99" s="4"/>
    </row>
    <row r="100" customFormat="false" ht="15" hidden="false" customHeight="false" outlineLevel="0" collapsed="false">
      <c r="A100" s="2" t="s">
        <v>1308</v>
      </c>
      <c r="B100" s="2" t="s">
        <v>1029</v>
      </c>
      <c r="C100" s="2" t="s">
        <v>1465</v>
      </c>
      <c r="D100" s="3" t="s">
        <v>1325</v>
      </c>
      <c r="E100" s="2"/>
      <c r="F100" s="4"/>
      <c r="G100" s="4"/>
    </row>
    <row r="101" customFormat="false" ht="15" hidden="false" customHeight="false" outlineLevel="0" collapsed="false">
      <c r="A101" s="2" t="s">
        <v>1466</v>
      </c>
      <c r="B101" s="2" t="s">
        <v>1054</v>
      </c>
      <c r="C101" s="2" t="s">
        <v>1467</v>
      </c>
      <c r="D101" s="3" t="s">
        <v>1468</v>
      </c>
      <c r="E101" s="2"/>
      <c r="F101" s="4"/>
      <c r="G101" s="4"/>
    </row>
    <row r="102" customFormat="false" ht="15" hidden="false" customHeight="false" outlineLevel="0" collapsed="false">
      <c r="A102" s="2" t="s">
        <v>1466</v>
      </c>
      <c r="B102" s="2" t="s">
        <v>1054</v>
      </c>
      <c r="C102" s="2" t="s">
        <v>1469</v>
      </c>
      <c r="D102" s="3" t="s">
        <v>1468</v>
      </c>
      <c r="E102" s="2"/>
      <c r="F102" s="4"/>
      <c r="G102" s="4"/>
    </row>
    <row r="103" customFormat="false" ht="15" hidden="false" customHeight="false" outlineLevel="0" collapsed="false">
      <c r="A103" s="2" t="s">
        <v>1466</v>
      </c>
      <c r="B103" s="2" t="s">
        <v>1064</v>
      </c>
      <c r="C103" s="2" t="s">
        <v>1470</v>
      </c>
      <c r="D103" s="3" t="s">
        <v>1332</v>
      </c>
      <c r="E103" s="2"/>
      <c r="F103" s="4"/>
      <c r="G103" s="4"/>
    </row>
    <row r="104" customFormat="false" ht="15" hidden="false" customHeight="false" outlineLevel="0" collapsed="false">
      <c r="A104" s="2" t="s">
        <v>1466</v>
      </c>
      <c r="B104" s="2" t="s">
        <v>1064</v>
      </c>
      <c r="C104" s="2" t="s">
        <v>1471</v>
      </c>
      <c r="D104" s="3" t="s">
        <v>1344</v>
      </c>
      <c r="E104" s="2"/>
      <c r="F104" s="4"/>
      <c r="G104" s="4"/>
    </row>
    <row r="105" customFormat="false" ht="15" hidden="false" customHeight="false" outlineLevel="0" collapsed="false">
      <c r="A105" s="2" t="s">
        <v>1466</v>
      </c>
      <c r="B105" s="2" t="s">
        <v>1083</v>
      </c>
      <c r="C105" s="2" t="s">
        <v>1472</v>
      </c>
      <c r="D105" s="3" t="s">
        <v>1319</v>
      </c>
      <c r="E105" s="2" t="s">
        <v>1473</v>
      </c>
      <c r="F105" s="4"/>
      <c r="G105" s="4"/>
    </row>
    <row r="106" customFormat="false" ht="15" hidden="false" customHeight="false" outlineLevel="0" collapsed="false">
      <c r="A106" s="2" t="s">
        <v>1466</v>
      </c>
      <c r="B106" s="2" t="s">
        <v>1094</v>
      </c>
      <c r="C106" s="2" t="s">
        <v>1474</v>
      </c>
      <c r="D106" s="3" t="s">
        <v>1332</v>
      </c>
      <c r="E106" s="2"/>
      <c r="F106" s="4"/>
      <c r="G106" s="4"/>
    </row>
    <row r="107" customFormat="false" ht="15" hidden="false" customHeight="false" outlineLevel="0" collapsed="false">
      <c r="A107" s="2" t="s">
        <v>1466</v>
      </c>
      <c r="B107" s="2" t="s">
        <v>1166</v>
      </c>
      <c r="C107" s="2" t="s">
        <v>1475</v>
      </c>
      <c r="D107" s="3" t="s">
        <v>1329</v>
      </c>
      <c r="E107" s="2" t="s">
        <v>1476</v>
      </c>
      <c r="F107" s="4"/>
      <c r="G107" s="4"/>
    </row>
    <row r="108" customFormat="false" ht="15" hidden="false" customHeight="false" outlineLevel="0" collapsed="false">
      <c r="A108" s="2" t="s">
        <v>1466</v>
      </c>
      <c r="B108" s="2" t="s">
        <v>1176</v>
      </c>
      <c r="C108" s="2" t="s">
        <v>1477</v>
      </c>
      <c r="D108" s="3" t="s">
        <v>1329</v>
      </c>
      <c r="E108" s="2" t="s">
        <v>1478</v>
      </c>
      <c r="F108" s="4"/>
      <c r="G108" s="4"/>
    </row>
    <row r="109" customFormat="false" ht="15" hidden="false" customHeight="false" outlineLevel="0" collapsed="false">
      <c r="A109" s="2" t="s">
        <v>1466</v>
      </c>
      <c r="B109" s="2" t="s">
        <v>1176</v>
      </c>
      <c r="C109" s="2" t="s">
        <v>1479</v>
      </c>
      <c r="D109" s="3" t="s">
        <v>1480</v>
      </c>
      <c r="E109" s="2"/>
      <c r="F109" s="4"/>
      <c r="G109" s="4"/>
    </row>
    <row r="110" customFormat="false" ht="15" hidden="false" customHeight="false" outlineLevel="0" collapsed="false">
      <c r="A110" s="2" t="s">
        <v>1466</v>
      </c>
      <c r="B110" s="2" t="s">
        <v>1187</v>
      </c>
      <c r="C110" s="2" t="s">
        <v>1481</v>
      </c>
      <c r="D110" s="3" t="s">
        <v>1329</v>
      </c>
      <c r="E110" s="2" t="s">
        <v>1482</v>
      </c>
      <c r="F110" s="4"/>
      <c r="G110" s="4"/>
    </row>
    <row r="111" customFormat="false" ht="15" hidden="false" customHeight="false" outlineLevel="0" collapsed="false">
      <c r="A111" s="2" t="s">
        <v>1466</v>
      </c>
      <c r="B111" s="2" t="s">
        <v>1252</v>
      </c>
      <c r="C111" s="2" t="s">
        <v>1483</v>
      </c>
      <c r="D111" s="3" t="s">
        <v>1484</v>
      </c>
      <c r="E111" s="2" t="s">
        <v>1485</v>
      </c>
      <c r="F111" s="4"/>
      <c r="G111" s="4"/>
    </row>
    <row r="112" customFormat="false" ht="15" hidden="false" customHeight="false" outlineLevel="0" collapsed="false">
      <c r="A112" s="2" t="s">
        <v>1466</v>
      </c>
      <c r="B112" s="2" t="s">
        <v>1260</v>
      </c>
      <c r="C112" s="2" t="s">
        <v>1486</v>
      </c>
      <c r="D112" s="3" t="s">
        <v>1337</v>
      </c>
      <c r="E112" s="2"/>
      <c r="F112" s="4"/>
      <c r="G112" s="4"/>
    </row>
    <row r="113" customFormat="false" ht="15" hidden="false" customHeight="false" outlineLevel="0" collapsed="false">
      <c r="A113" s="2" t="s">
        <v>1466</v>
      </c>
      <c r="B113" s="2" t="s">
        <v>1270</v>
      </c>
      <c r="C113" s="2" t="s">
        <v>1487</v>
      </c>
      <c r="D113" s="3" t="s">
        <v>1488</v>
      </c>
      <c r="E113" s="2" t="s">
        <v>1489</v>
      </c>
      <c r="F113" s="4"/>
      <c r="G113" s="4"/>
    </row>
    <row r="114" customFormat="false" ht="15" hidden="false" customHeight="false" outlineLevel="0" collapsed="false">
      <c r="A114" s="2" t="s">
        <v>1466</v>
      </c>
      <c r="B114" s="2" t="s">
        <v>1074</v>
      </c>
      <c r="C114" s="2" t="s">
        <v>1490</v>
      </c>
      <c r="D114" s="3" t="s">
        <v>1337</v>
      </c>
      <c r="E114" s="2"/>
      <c r="F114" s="4"/>
      <c r="G114" s="4"/>
    </row>
    <row r="115" customFormat="false" ht="15" hidden="false" customHeight="false" outlineLevel="0" collapsed="false">
      <c r="A115" s="2" t="s">
        <v>1466</v>
      </c>
      <c r="B115" s="2" t="s">
        <v>1074</v>
      </c>
      <c r="C115" s="2" t="s">
        <v>1491</v>
      </c>
      <c r="D115" s="3" t="s">
        <v>1337</v>
      </c>
      <c r="E115" s="2"/>
      <c r="F115" s="4"/>
      <c r="G115" s="4"/>
    </row>
    <row r="116" customFormat="false" ht="15" hidden="false" customHeight="false" outlineLevel="0" collapsed="false">
      <c r="A116" s="2" t="s">
        <v>1466</v>
      </c>
      <c r="B116" s="2" t="s">
        <v>1112</v>
      </c>
      <c r="C116" s="2" t="s">
        <v>1492</v>
      </c>
      <c r="D116" s="3" t="s">
        <v>1434</v>
      </c>
      <c r="E116" s="2"/>
      <c r="F116" s="4"/>
      <c r="G116" s="4"/>
    </row>
    <row r="117" customFormat="false" ht="15" hidden="false" customHeight="false" outlineLevel="0" collapsed="false">
      <c r="A117" s="2" t="s">
        <v>1466</v>
      </c>
      <c r="B117" s="2" t="s">
        <v>1122</v>
      </c>
      <c r="C117" s="2" t="s">
        <v>1493</v>
      </c>
      <c r="D117" s="3" t="s">
        <v>1339</v>
      </c>
      <c r="E117" s="2"/>
      <c r="F117" s="4"/>
      <c r="G117" s="4"/>
    </row>
    <row r="118" customFormat="false" ht="15" hidden="false" customHeight="false" outlineLevel="0" collapsed="false">
      <c r="A118" s="2" t="s">
        <v>1466</v>
      </c>
      <c r="B118" s="2" t="s">
        <v>1146</v>
      </c>
      <c r="C118" s="2" t="s">
        <v>1494</v>
      </c>
      <c r="D118" s="3" t="s">
        <v>1337</v>
      </c>
      <c r="E118" s="2"/>
      <c r="F118" s="4"/>
      <c r="G118" s="4"/>
    </row>
    <row r="119" customFormat="false" ht="15" hidden="false" customHeight="false" outlineLevel="0" collapsed="false">
      <c r="A119" s="2" t="s">
        <v>1466</v>
      </c>
      <c r="B119" s="2" t="s">
        <v>1146</v>
      </c>
      <c r="C119" s="2" t="s">
        <v>1495</v>
      </c>
      <c r="D119" s="3" t="s">
        <v>1337</v>
      </c>
      <c r="E119" s="2"/>
      <c r="F119" s="4"/>
      <c r="G119" s="4"/>
    </row>
    <row r="120" customFormat="false" ht="15" hidden="false" customHeight="false" outlineLevel="0" collapsed="false">
      <c r="A120" s="2" t="s">
        <v>1466</v>
      </c>
      <c r="B120" s="2" t="s">
        <v>1156</v>
      </c>
      <c r="C120" s="2" t="s">
        <v>1496</v>
      </c>
      <c r="D120" s="3" t="s">
        <v>1325</v>
      </c>
      <c r="E120" s="2" t="s">
        <v>1497</v>
      </c>
      <c r="F120" s="4"/>
      <c r="G120" s="4"/>
    </row>
    <row r="121" customFormat="false" ht="15" hidden="false" customHeight="false" outlineLevel="0" collapsed="false">
      <c r="A121" s="2" t="s">
        <v>1466</v>
      </c>
      <c r="B121" s="2" t="s">
        <v>1214</v>
      </c>
      <c r="C121" s="2" t="s">
        <v>1498</v>
      </c>
      <c r="D121" s="3" t="s">
        <v>1499</v>
      </c>
      <c r="E121" s="2"/>
      <c r="F121" s="4"/>
      <c r="G121" s="4"/>
    </row>
    <row r="122" customFormat="false" ht="15" hidden="false" customHeight="false" outlineLevel="0" collapsed="false">
      <c r="A122" s="2" t="s">
        <v>1466</v>
      </c>
      <c r="B122" s="2" t="s">
        <v>1232</v>
      </c>
      <c r="C122" s="2" t="s">
        <v>1500</v>
      </c>
      <c r="D122" s="3" t="s">
        <v>1501</v>
      </c>
      <c r="E122" s="2"/>
      <c r="F122" s="4"/>
      <c r="G122" s="4"/>
    </row>
    <row r="123" customFormat="false" ht="15" hidden="false" customHeight="false" outlineLevel="0" collapsed="false">
      <c r="A123" s="2" t="s">
        <v>1466</v>
      </c>
      <c r="B123" s="2" t="s">
        <v>1232</v>
      </c>
      <c r="C123" s="2" t="s">
        <v>1502</v>
      </c>
      <c r="D123" s="3" t="s">
        <v>1344</v>
      </c>
      <c r="E123" s="2"/>
      <c r="F123" s="4"/>
      <c r="G123" s="4"/>
    </row>
    <row r="124" customFormat="false" ht="15" hidden="false" customHeight="false" outlineLevel="0" collapsed="false">
      <c r="A124" s="2" t="s">
        <v>1466</v>
      </c>
      <c r="B124" s="2" t="s">
        <v>1242</v>
      </c>
      <c r="C124" s="2" t="s">
        <v>1503</v>
      </c>
      <c r="D124" s="3" t="s">
        <v>1390</v>
      </c>
      <c r="E124" s="2"/>
      <c r="F124" s="4"/>
      <c r="G124" s="4"/>
    </row>
    <row r="125" customFormat="false" ht="15" hidden="false" customHeight="false" outlineLevel="0" collapsed="false">
      <c r="A125" s="2" t="s">
        <v>1466</v>
      </c>
      <c r="B125" s="2" t="s">
        <v>1296</v>
      </c>
      <c r="C125" s="2" t="s">
        <v>1504</v>
      </c>
      <c r="D125" s="3" t="s">
        <v>1505</v>
      </c>
      <c r="E125" s="2" t="s">
        <v>1506</v>
      </c>
      <c r="F125" s="4"/>
      <c r="G125" s="4"/>
    </row>
  </sheetData>
  <autoFilter ref="A1:G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6" t="s">
        <v>1507</v>
      </c>
    </row>
    <row r="2" customFormat="false" ht="23.85" hidden="false" customHeight="false" outlineLevel="0" collapsed="false">
      <c r="A2" s="7" t="s">
        <v>1508</v>
      </c>
    </row>
    <row r="3" customFormat="false" ht="15" hidden="false" customHeight="false" outlineLevel="0" collapsed="false">
      <c r="A3" s="7" t="s">
        <v>1509</v>
      </c>
    </row>
    <row r="4" customFormat="false" ht="15" hidden="false" customHeight="false" outlineLevel="0" collapsed="false">
      <c r="A4" s="7"/>
    </row>
    <row r="5" customFormat="false" ht="15" hidden="false" customHeight="false" outlineLevel="0" collapsed="false">
      <c r="A5" s="8" t="s">
        <v>1510</v>
      </c>
    </row>
    <row r="6" customFormat="false" ht="15" hidden="false" customHeight="false" outlineLevel="0" collapsed="false">
      <c r="A6" s="3"/>
    </row>
    <row r="7" customFormat="false" ht="35.05" hidden="false" customHeight="false" outlineLevel="0" collapsed="false">
      <c r="A7" s="3" t="s">
        <v>1511</v>
      </c>
    </row>
    <row r="8" customFormat="false" ht="15" hidden="false" customHeight="false" outlineLevel="0" collapsed="false">
      <c r="A8" s="3"/>
    </row>
    <row r="9" customFormat="false" ht="15" hidden="false" customHeight="false" outlineLevel="0" collapsed="false">
      <c r="A9" s="8" t="s">
        <v>1512</v>
      </c>
    </row>
    <row r="10" customFormat="false" ht="15" hidden="false" customHeight="false" outlineLevel="0" collapsed="false">
      <c r="A10" s="3"/>
    </row>
    <row r="11" customFormat="false" ht="15" hidden="false" customHeight="false" outlineLevel="0" collapsed="false">
      <c r="A11" s="3" t="s">
        <v>1513</v>
      </c>
    </row>
    <row r="12" customFormat="false" ht="15" hidden="false" customHeight="false" outlineLevel="0" collapsed="false">
      <c r="A12" s="3" t="s">
        <v>1514</v>
      </c>
    </row>
    <row r="13" customFormat="false" ht="15" hidden="false" customHeight="false" outlineLevel="0" collapsed="false">
      <c r="A13" s="3" t="s">
        <v>1515</v>
      </c>
    </row>
    <row r="14" customFormat="false" ht="15" hidden="false" customHeight="false" outlineLevel="0" collapsed="false">
      <c r="A14" s="3" t="s">
        <v>1516</v>
      </c>
    </row>
    <row r="15" customFormat="false" ht="15" hidden="false" customHeight="false" outlineLevel="0" collapsed="false">
      <c r="A15" s="3"/>
    </row>
    <row r="16" customFormat="false" ht="46.25" hidden="false" customHeight="false" outlineLevel="0" collapsed="false">
      <c r="A16" s="3" t="s">
        <v>1517</v>
      </c>
    </row>
    <row r="17" customFormat="false" ht="15" hidden="false" customHeight="false" outlineLevel="0" collapsed="false">
      <c r="A17" s="3"/>
    </row>
    <row r="18" customFormat="false" ht="35.05" hidden="false" customHeight="false" outlineLevel="0" collapsed="false">
      <c r="A18" s="3" t="s">
        <v>1518</v>
      </c>
    </row>
    <row r="19" customFormat="false" ht="15" hidden="false" customHeight="false" outlineLevel="0" collapsed="false">
      <c r="A19" s="3"/>
    </row>
    <row r="20" customFormat="false" ht="23.85" hidden="false" customHeight="false" outlineLevel="0" collapsed="false">
      <c r="A20" s="3" t="s">
        <v>1519</v>
      </c>
    </row>
    <row r="21" customFormat="false" ht="15" hidden="false" customHeight="false" outlineLevel="0" collapsed="false">
      <c r="A21" s="3"/>
    </row>
    <row r="22" customFormat="false" ht="23.85" hidden="false" customHeight="false" outlineLevel="0" collapsed="false">
      <c r="A22" s="3" t="s">
        <v>1520</v>
      </c>
    </row>
    <row r="23" customFormat="false" ht="15" hidden="false" customHeight="false" outlineLevel="0" collapsed="false">
      <c r="A23" s="3"/>
    </row>
    <row r="24" customFormat="false" ht="15" hidden="false" customHeight="false" outlineLevel="0" collapsed="false">
      <c r="A24" s="3" t="s">
        <v>1521</v>
      </c>
    </row>
    <row r="25" customFormat="false" ht="23.85" hidden="false" customHeight="false" outlineLevel="0" collapsed="false">
      <c r="A25" s="3" t="s">
        <v>1522</v>
      </c>
    </row>
    <row r="26" customFormat="false" ht="23.85" hidden="false" customHeight="false" outlineLevel="0" collapsed="false">
      <c r="A26" s="3" t="s">
        <v>1523</v>
      </c>
    </row>
    <row r="27" customFormat="false" ht="23.85" hidden="false" customHeight="false" outlineLevel="0" collapsed="false">
      <c r="A27" s="3" t="s">
        <v>1524</v>
      </c>
    </row>
    <row r="28" customFormat="false" ht="15" hidden="false" customHeight="false" outlineLevel="0" collapsed="false">
      <c r="A28" s="3" t="s">
        <v>1525</v>
      </c>
    </row>
    <row r="29" customFormat="false" ht="15" hidden="false" customHeight="false" outlineLevel="0" collapsed="false">
      <c r="A29" s="3" t="s">
        <v>1526</v>
      </c>
    </row>
    <row r="30" customFormat="false" ht="15" hidden="false" customHeight="false" outlineLevel="0" collapsed="false">
      <c r="A30" s="3"/>
    </row>
    <row r="31" customFormat="false" ht="15" hidden="false" customHeight="false" outlineLevel="0" collapsed="false">
      <c r="A31" s="8" t="s">
        <v>1527</v>
      </c>
    </row>
    <row r="32" customFormat="false" ht="15" hidden="false" customHeight="false" outlineLevel="0" collapsed="false">
      <c r="A32" s="3"/>
    </row>
    <row r="33" customFormat="false" ht="23.85" hidden="false" customHeight="false" outlineLevel="0" collapsed="false">
      <c r="A33" s="3" t="s">
        <v>1528</v>
      </c>
    </row>
    <row r="34" customFormat="false" ht="57.45" hidden="false" customHeight="false" outlineLevel="0" collapsed="false">
      <c r="A34" s="3" t="s">
        <v>1529</v>
      </c>
    </row>
    <row r="35" customFormat="false" ht="15" hidden="false" customHeight="false" outlineLevel="0" collapsed="false">
      <c r="A35" s="3" t="s">
        <v>1530</v>
      </c>
    </row>
    <row r="36" customFormat="false" ht="15" hidden="false" customHeight="false" outlineLevel="0" collapsed="false">
      <c r="A36" s="3" t="s">
        <v>1531</v>
      </c>
    </row>
    <row r="37" customFormat="false" ht="15" hidden="false" customHeight="false" outlineLevel="0" collapsed="false">
      <c r="A37" s="3" t="s">
        <v>1532</v>
      </c>
    </row>
    <row r="38" customFormat="false" ht="15" hidden="false" customHeight="false" outlineLevel="0" collapsed="false">
      <c r="A38" s="3" t="s">
        <v>1533</v>
      </c>
    </row>
    <row r="39" customFormat="false" ht="23.85" hidden="false" customHeight="false" outlineLevel="0" collapsed="false">
      <c r="A39" s="3" t="s">
        <v>1534</v>
      </c>
    </row>
    <row r="40" customFormat="false" ht="15" hidden="false" customHeight="false" outlineLevel="0" collapsed="false">
      <c r="A40" s="3"/>
    </row>
    <row r="41" customFormat="false" ht="15" hidden="false" customHeight="false" outlineLevel="0" collapsed="false">
      <c r="A41" s="8" t="s">
        <v>1535</v>
      </c>
    </row>
    <row r="42" customFormat="false" ht="23.85" hidden="false" customHeight="false" outlineLevel="0" collapsed="false">
      <c r="A42" s="3" t="s">
        <v>1536</v>
      </c>
    </row>
    <row r="43" customFormat="false" ht="23.85" hidden="false" customHeight="false" outlineLevel="0" collapsed="false">
      <c r="A43" s="3" t="s">
        <v>1537</v>
      </c>
    </row>
    <row r="44" customFormat="false" ht="35.05" hidden="false" customHeight="false" outlineLevel="0" collapsed="false">
      <c r="A44" s="3" t="s">
        <v>1538</v>
      </c>
    </row>
    <row r="45" customFormat="false" ht="15" hidden="false" customHeight="false" outlineLevel="0" collapsed="false">
      <c r="A45" s="8" t="s">
        <v>1539</v>
      </c>
    </row>
    <row r="46" customFormat="false" ht="46.25" hidden="false" customHeight="false" outlineLevel="0" collapsed="false">
      <c r="A46" s="3" t="s">
        <v>1540</v>
      </c>
    </row>
    <row r="47" customFormat="false" ht="15" hidden="false" customHeight="false" outlineLevel="0" collapsed="false">
      <c r="A47" s="8" t="s">
        <v>1541</v>
      </c>
    </row>
    <row r="48" customFormat="false" ht="15" hidden="false" customHeight="false" outlineLevel="0" collapsed="false">
      <c r="A48" s="3" t="s">
        <v>1542</v>
      </c>
    </row>
    <row r="49" customFormat="false" ht="15" hidden="false" customHeight="false" outlineLevel="0" collapsed="false">
      <c r="A49" s="3" t="s">
        <v>1543</v>
      </c>
    </row>
    <row r="50" customFormat="false" ht="15" hidden="false" customHeight="false" outlineLevel="0" collapsed="false">
      <c r="A50" s="8" t="s">
        <v>1544</v>
      </c>
    </row>
    <row r="51" customFormat="false" ht="15" hidden="false" customHeight="false" outlineLevel="0" collapsed="false">
      <c r="A51" s="3"/>
    </row>
    <row r="52" customFormat="false" ht="23.85" hidden="false" customHeight="false" outlineLevel="0" collapsed="false">
      <c r="A52" s="3" t="s">
        <v>1545</v>
      </c>
    </row>
    <row r="53" customFormat="false" ht="23.85" hidden="false" customHeight="false" outlineLevel="0" collapsed="false">
      <c r="A53" s="3" t="s">
        <v>1546</v>
      </c>
    </row>
    <row r="54" customFormat="false" ht="15" hidden="false" customHeight="false" outlineLevel="0" collapsed="false">
      <c r="A54" s="3"/>
    </row>
    <row r="55" customFormat="false" ht="15" hidden="false" customHeight="false" outlineLevel="0" collapsed="false">
      <c r="A55" s="8" t="s">
        <v>1547</v>
      </c>
    </row>
    <row r="56" customFormat="false" ht="15" hidden="false" customHeight="false" outlineLevel="0" collapsed="false">
      <c r="A56" s="3"/>
    </row>
    <row r="57" customFormat="false" ht="15" hidden="false" customHeight="false" outlineLevel="0" collapsed="false">
      <c r="A57" s="3" t="s">
        <v>1548</v>
      </c>
    </row>
    <row r="58" customFormat="false" ht="35.05" hidden="false" customHeight="false" outlineLevel="0" collapsed="false">
      <c r="A58" s="3" t="s">
        <v>1549</v>
      </c>
    </row>
    <row r="59" customFormat="false" ht="23.85" hidden="false" customHeight="false" outlineLevel="0" collapsed="false">
      <c r="A59" s="3" t="s">
        <v>1550</v>
      </c>
    </row>
    <row r="60" customFormat="false" ht="23.85" hidden="false" customHeight="false" outlineLevel="0" collapsed="false">
      <c r="A60" s="3" t="s">
        <v>1551</v>
      </c>
    </row>
    <row r="61" customFormat="false" ht="15" hidden="false" customHeight="false" outlineLevel="0" collapsed="false">
      <c r="A61" s="3" t="s">
        <v>1552</v>
      </c>
    </row>
    <row r="62" customFormat="false" ht="15" hidden="false" customHeight="false" outlineLevel="0" collapsed="false">
      <c r="A62" s="3" t="s">
        <v>1553</v>
      </c>
    </row>
    <row r="63" customFormat="false" ht="15" hidden="false" customHeight="false" outlineLevel="0" collapsed="false">
      <c r="A63" s="3" t="s">
        <v>1554</v>
      </c>
    </row>
    <row r="64" customFormat="false" ht="15" hidden="false" customHeight="false" outlineLevel="0" collapsed="false">
      <c r="A64" s="3" t="s">
        <v>1555</v>
      </c>
    </row>
    <row r="65" customFormat="false" ht="15" hidden="false" customHeight="false" outlineLevel="0" collapsed="false">
      <c r="A65" s="3" t="s">
        <v>1556</v>
      </c>
    </row>
    <row r="66" customFormat="false" ht="23.85" hidden="false" customHeight="false" outlineLevel="0" collapsed="false">
      <c r="A66" s="3" t="s">
        <v>1557</v>
      </c>
    </row>
    <row r="67" customFormat="false" ht="15" hidden="false" customHeight="false" outlineLevel="0" collapsed="false">
      <c r="A67" s="3" t="s">
        <v>1558</v>
      </c>
    </row>
    <row r="68" customFormat="false" ht="15" hidden="false" customHeight="false" outlineLevel="0" collapsed="false">
      <c r="A68" s="3" t="s">
        <v>1559</v>
      </c>
    </row>
    <row r="69" customFormat="false" ht="15" hidden="false" customHeight="false" outlineLevel="0" collapsed="false">
      <c r="A69" s="3" t="s">
        <v>1560</v>
      </c>
    </row>
    <row r="70" customFormat="false" ht="23.85" hidden="false" customHeight="false" outlineLevel="0" collapsed="false">
      <c r="A70" s="3" t="s">
        <v>1561</v>
      </c>
    </row>
    <row r="71" customFormat="false" ht="15" hidden="false" customHeight="false" outlineLevel="0" collapsed="false">
      <c r="A71" s="3"/>
    </row>
    <row r="72" customFormat="false" ht="15" hidden="false" customHeight="false" outlineLevel="0" collapsed="false">
      <c r="A72" s="3" t="s">
        <v>1562</v>
      </c>
    </row>
    <row r="73" customFormat="false" ht="46.25" hidden="false" customHeight="false" outlineLevel="0" collapsed="false">
      <c r="A73" s="3" t="s">
        <v>1563</v>
      </c>
    </row>
    <row r="74" customFormat="false" ht="23.85" hidden="false" customHeight="false" outlineLevel="0" collapsed="false">
      <c r="A74" s="3" t="s">
        <v>1564</v>
      </c>
    </row>
    <row r="75" customFormat="false" ht="23.85" hidden="false" customHeight="false" outlineLevel="0" collapsed="false">
      <c r="A75" s="3" t="s">
        <v>1565</v>
      </c>
    </row>
    <row r="76" customFormat="false" ht="15" hidden="false" customHeight="false" outlineLevel="0" collapsed="false">
      <c r="A76" s="3" t="s">
        <v>1566</v>
      </c>
    </row>
    <row r="77" customFormat="false" ht="15" hidden="false" customHeight="false" outlineLevel="0" collapsed="false">
      <c r="A77" s="3" t="s">
        <v>1567</v>
      </c>
    </row>
    <row r="78" customFormat="false" ht="15" hidden="false" customHeight="false" outlineLevel="0" collapsed="false">
      <c r="A78" s="3" t="s">
        <v>1568</v>
      </c>
    </row>
    <row r="79" customFormat="false" ht="15" hidden="false" customHeight="false" outlineLevel="0" collapsed="false">
      <c r="A79" s="3" t="s">
        <v>1569</v>
      </c>
    </row>
    <row r="80" customFormat="false" ht="15" hidden="false" customHeight="false" outlineLevel="0" collapsed="false">
      <c r="A80" s="3" t="s">
        <v>1570</v>
      </c>
    </row>
    <row r="81" customFormat="false" ht="15" hidden="false" customHeight="false" outlineLevel="0" collapsed="false">
      <c r="A81" s="3" t="s">
        <v>1571</v>
      </c>
    </row>
    <row r="82" customFormat="false" ht="15" hidden="false" customHeight="false" outlineLevel="0" collapsed="false">
      <c r="A82" s="3" t="s">
        <v>1572</v>
      </c>
    </row>
    <row r="83" customFormat="false" ht="15" hidden="false" customHeight="false" outlineLevel="0" collapsed="false">
      <c r="A83" s="3" t="s">
        <v>1573</v>
      </c>
    </row>
    <row r="84" customFormat="false" ht="15" hidden="false" customHeight="false" outlineLevel="0" collapsed="false">
      <c r="A84" s="3" t="s">
        <v>1574</v>
      </c>
    </row>
    <row r="85" customFormat="false" ht="15" hidden="false" customHeight="false" outlineLevel="0" collapsed="false">
      <c r="A85" s="3"/>
    </row>
    <row r="86" customFormat="false" ht="15" hidden="false" customHeight="false" outlineLevel="0" collapsed="false">
      <c r="A86" s="8" t="s">
        <v>1575</v>
      </c>
    </row>
    <row r="87" customFormat="false" ht="15" hidden="false" customHeight="false" outlineLevel="0" collapsed="false">
      <c r="A87" s="3"/>
    </row>
    <row r="88" customFormat="false" ht="23.85" hidden="false" customHeight="false" outlineLevel="0" collapsed="false">
      <c r="A88" s="3" t="s">
        <v>1576</v>
      </c>
    </row>
    <row r="89" customFormat="false" ht="23.85" hidden="false" customHeight="false" outlineLevel="0" collapsed="false">
      <c r="A89" s="3" t="s">
        <v>1577</v>
      </c>
    </row>
    <row r="90" customFormat="false" ht="23.85" hidden="false" customHeight="false" outlineLevel="0" collapsed="false">
      <c r="A90" s="3" t="s">
        <v>1578</v>
      </c>
    </row>
    <row r="91" customFormat="false" ht="23.85" hidden="false" customHeight="false" outlineLevel="0" collapsed="false">
      <c r="A91" s="3" t="s">
        <v>1579</v>
      </c>
    </row>
    <row r="92" customFormat="false" ht="15" hidden="false" customHeight="false" outlineLevel="0" collapsed="false">
      <c r="A92" s="3" t="s">
        <v>1580</v>
      </c>
    </row>
    <row r="93" customFormat="false" ht="15" hidden="false" customHeight="false" outlineLevel="0" collapsed="false">
      <c r="A93" s="3" t="s">
        <v>1581</v>
      </c>
    </row>
    <row r="94" customFormat="false" ht="15" hidden="false" customHeight="false" outlineLevel="0" collapsed="false">
      <c r="A94" s="3" t="s">
        <v>1582</v>
      </c>
    </row>
    <row r="95" customFormat="false" ht="15" hidden="false" customHeight="false" outlineLevel="0" collapsed="false">
      <c r="A95" s="3" t="s">
        <v>1583</v>
      </c>
    </row>
    <row r="96" customFormat="false" ht="15" hidden="false" customHeight="false" outlineLevel="0" collapsed="false">
      <c r="A96" s="3" t="s">
        <v>1584</v>
      </c>
    </row>
    <row r="97" customFormat="false" ht="15" hidden="false" customHeight="false" outlineLevel="0" collapsed="false">
      <c r="A97" s="3" t="s">
        <v>1585</v>
      </c>
    </row>
    <row r="98" customFormat="false" ht="15" hidden="false" customHeight="false" outlineLevel="0" collapsed="false">
      <c r="A98" s="3" t="s">
        <v>1586</v>
      </c>
    </row>
    <row r="99" customFormat="false" ht="15" hidden="false" customHeight="false" outlineLevel="0" collapsed="false">
      <c r="A99" s="3" t="s">
        <v>1587</v>
      </c>
    </row>
    <row r="100" customFormat="false" ht="15" hidden="false" customHeight="false" outlineLevel="0" collapsed="false">
      <c r="A100" s="3" t="s">
        <v>1588</v>
      </c>
    </row>
    <row r="101" customFormat="false" ht="23.85" hidden="false" customHeight="false" outlineLevel="0" collapsed="false">
      <c r="A101" s="3" t="s">
        <v>1589</v>
      </c>
    </row>
    <row r="102" customFormat="false" ht="15" hidden="false" customHeight="false" outlineLevel="0" collapsed="false">
      <c r="A102" s="3" t="s">
        <v>1590</v>
      </c>
    </row>
    <row r="103" customFormat="false" ht="15" hidden="false" customHeight="false" outlineLevel="0" collapsed="false">
      <c r="A103" s="3"/>
    </row>
    <row r="104" customFormat="false" ht="15" hidden="false" customHeight="false" outlineLevel="0" collapsed="false">
      <c r="A104" s="8" t="s">
        <v>1591</v>
      </c>
    </row>
    <row r="105" customFormat="false" ht="15" hidden="false" customHeight="false" outlineLevel="0" collapsed="false">
      <c r="A105" s="3"/>
    </row>
    <row r="106" customFormat="false" ht="35.05" hidden="false" customHeight="false" outlineLevel="0" collapsed="false">
      <c r="A106" s="3" t="s">
        <v>1592</v>
      </c>
    </row>
    <row r="107" customFormat="false" ht="23.85" hidden="false" customHeight="false" outlineLevel="0" collapsed="false">
      <c r="A107" s="3" t="s">
        <v>1593</v>
      </c>
    </row>
    <row r="108" customFormat="false" ht="23.85" hidden="false" customHeight="false" outlineLevel="0" collapsed="false">
      <c r="A108" s="3" t="s">
        <v>1594</v>
      </c>
    </row>
    <row r="109" customFormat="false" ht="23.85" hidden="false" customHeight="false" outlineLevel="0" collapsed="false">
      <c r="A109" s="3" t="s">
        <v>1595</v>
      </c>
    </row>
    <row r="110" customFormat="false" ht="23.85" hidden="false" customHeight="false" outlineLevel="0" collapsed="false">
      <c r="A110" s="3" t="s">
        <v>1596</v>
      </c>
    </row>
    <row r="111" customFormat="false" ht="15" hidden="false" customHeight="false" outlineLevel="0" collapsed="false">
      <c r="A1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2026-10-09T13:01:59Z</dcterms:created>
  <dc:creator>openpyxl</dc:creator>
  <dc:description/>
  <dc:language>en-US</dc:language>
  <cp:lastModifiedBy/>
  <dcterms:modified xsi:type="dcterms:W3CDTF">2026-10-09T13:01:59Z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