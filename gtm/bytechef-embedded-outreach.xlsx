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gets" sheetId="1" state="visible" r:id="rId3"/>
    <sheet name="Contacts" sheetId="2" state="visible" r:id="rId4"/>
    <sheet name="Notes" sheetId="3" state="visible" r:id="rId5"/>
  </sheets>
  <definedNames>
    <definedName function="false" hidden="true" localSheetId="1" name="_xlnm._FilterDatabase" vbProcedure="false">Contacts!$A$1:$J$129</definedName>
    <definedName function="false" hidden="true" localSheetId="0" name="_xlnm._FilterDatabase" vbProcedure="false">Targets!$A$1:$AB$103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<sst xmlns="http://schemas.openxmlformats.org/spreadsheetml/2006/main" count="2217" uniqueCount="1500">
  <si>
    <t xml:space="preserve">company</t>
  </si>
  <si>
    <t xml:space="preserve">url</t>
  </si>
  <si>
    <t xml:space="preserve">country</t>
  </si>
  <si>
    <t xml:space="preserve">segment</t>
  </si>
  <si>
    <t xml:space="preserve">sub_segment</t>
  </si>
  <si>
    <t xml:space="preserve">category</t>
  </si>
  <si>
    <t xml:space="preserve">description</t>
  </si>
  <si>
    <t xml:space="preserve">stage_funding</t>
  </si>
  <si>
    <t xml:space="preserve">est_size</t>
  </si>
  <si>
    <t xml:space="preserve">pain_evidence</t>
  </si>
  <si>
    <t xml:space="preserve">score_breakdown</t>
  </si>
  <si>
    <t xml:space="preserve">score</t>
  </si>
  <si>
    <t xml:space="preserve">wave</t>
  </si>
  <si>
    <t xml:space="preserve">owner</t>
  </si>
  <si>
    <t xml:space="preserve">first_line</t>
  </si>
  <si>
    <t xml:space="preserve">research_hook</t>
  </si>
  <si>
    <t xml:space="preserve">verify_before_sending</t>
  </si>
  <si>
    <t xml:space="preserve">contacts</t>
  </si>
  <si>
    <t xml:space="preserve">n_contacts</t>
  </si>
  <si>
    <t xml:space="preserve">contact_email</t>
  </si>
  <si>
    <t xml:space="preserve">touch1_date</t>
  </si>
  <si>
    <t xml:space="preserve">followup_date</t>
  </si>
  <si>
    <t xml:space="preserve">breakup_date</t>
  </si>
  <si>
    <t xml:space="preserve">replied</t>
  </si>
  <si>
    <t xml:space="preserve">call_booked</t>
  </si>
  <si>
    <t xml:space="preserve">call_held</t>
  </si>
  <si>
    <t xml:space="preserve">partner_status</t>
  </si>
  <si>
    <t xml:space="preserve">notes</t>
  </si>
  <si>
    <t xml:space="preserve">EXAMPLE - Acme SaaS</t>
  </si>
  <si>
    <t xml:space="preserve">acme.example</t>
  </si>
  <si>
    <t xml:space="preserve">Germany</t>
  </si>
  <si>
    <t xml:space="preserve">EU vertical</t>
  </si>
  <si>
    <t xml:space="preserve">Vertical SaaS</t>
  </si>
  <si>
    <t xml:space="preserve">Ivica</t>
  </si>
  <si>
    <t xml:space="preserve">Example hook referencing their specific evidence.</t>
  </si>
  <si>
    <t xml:space="preserve">Example caveat to check first</t>
  </si>
  <si>
    <t xml:space="preserve">Jane Doe (CTO)</t>
  </si>
  <si>
    <t xml:space="preserve">jane@acme.example</t>
  </si>
  <si>
    <t xml:space="preserve">2026-08-04</t>
  </si>
  <si>
    <t xml:space="preserve">2026-08-08</t>
  </si>
  <si>
    <t xml:space="preserve">2026-08-14</t>
  </si>
  <si>
    <t xml:space="preserve">Y</t>
  </si>
  <si>
    <t xml:space="preserve">2026-08-11</t>
  </si>
  <si>
    <t xml:space="preserve">2026-08-12</t>
  </si>
  <si>
    <t xml:space="preserve">discovery call held</t>
  </si>
  <si>
    <t xml:space="preserve">asked about SOC2; send follow-up deck</t>
  </si>
  <si>
    <t xml:space="preserve">Attio</t>
  </si>
  <si>
    <t xml:space="preserve">attio.com</t>
  </si>
  <si>
    <t xml:space="preserve">UK</t>
  </si>
  <si>
    <t xml:space="preserve">Dev tools</t>
  </si>
  <si>
    <t xml:space="preserve">Sales/CRM</t>
  </si>
  <si>
    <t xml:space="preserve">AI-native CRM for GTM teams</t>
  </si>
  <si>
    <t xml:space="preserve">Series B $52M GV, Aug 2025 (blog (https://attio.com/blog/attio-raises-52m-series-b))</t>
  </si>
  <si>
    <t xml:space="preserve">~84 (Tracxn (https://tracxn.com/d/companies/attio/__zXaorGoGUFFCntq5i6GuYbFjA5y0l4NPgP5t1R3FhXg))</t>
  </si>
  <si>
    <t xml:space="preserve">G2: native library ~8 apps vs HubSpot 1,500+; "Some more native integrations would be good so I don't have to use Zapier" (G2 (https://www.g2.com/products/attio/reviews?qs=pros-and-cons)); /apps 403</t>
  </si>
  <si>
    <t xml:space="preserve">2/2/3/2/1</t>
  </si>
  <si>
    <t xml:space="preserve">Your G2 reviews' most consistent complaint is the native-integration gap versus HubSpot's 1500-app marketplace - close it white-label.</t>
  </si>
  <si>
    <t xml:space="preserve">Your G2 reviews' most consistent complaint is the native-integration gap versus HubSpot's 1,500-app marketplace - we build an open-source embedded iPaaS that lets an 84-person team close that gap white-label instead of hand-coding each connector.</t>
  </si>
  <si>
    <t xml:space="preserve">Apps page 403 during research</t>
  </si>
  <si>
    <t xml:space="preserve">folk</t>
  </si>
  <si>
    <t xml:space="preserve">folk.app</t>
  </si>
  <si>
    <t xml:space="preserve">France</t>
  </si>
  <si>
    <t xml:space="preserve">Lightweight CRM for agencies/founders</t>
  </si>
  <si>
    <t xml:space="preserve">Series A $33M Bessemer per aggregators (PitchBook (https://pitchbook.com/profiles/company/228251-62)) - primary not fetched</t>
  </si>
  <si>
    <t xml:space="preserve">20–55 (getlatka (https://getlatka.com/companies/folk.app/team))</t>
  </si>
  <si>
    <t xml:space="preserve">Native integrations limited to Gmail/Outlook/LinkedIn/WhatsApp; "4,900+ integrations" are via Zapier/Make; G2/Capterra flag limited native integrations, no Salesforce sync (capsulecrm review (https://capsulecrm.com/blog/folk-crm-alternatives/), G2 (https://www.g2.com/products/folk-folk/reviews?qs=pros-and-cons))</t>
  </si>
  <si>
    <t xml:space="preserve">Reviewers keep dinging folk for four native integrations and pushing the rest through customers' paid Zapier plans - ship the Salesforce/HubSpot syncs they ask for.</t>
  </si>
  <si>
    <t xml:space="preserve">Reviewers keep dinging folk for having only four native integrations and pushing everything else through your customers' paid Zapier plans - an embedded open-source iPaaS could let you ship the Salesforce/HubSpot syncs they're asking for without staffing a connector team.</t>
  </si>
  <si>
    <t xml:space="preserve">Funding figure via aggregators - verify</t>
  </si>
  <si>
    <t xml:space="preserve">Cargoson</t>
  </si>
  <si>
    <t xml:space="preserve">cargoson.com</t>
  </si>
  <si>
    <t xml:space="preserve">Estonia</t>
  </si>
  <si>
    <t xml:space="preserve">Logistics (TMS)</t>
  </si>
  <si>
    <t xml:space="preserve">Cloud TMS consolidating carrier booking/rates/tracking</t>
  </si>
  <si>
    <t xml:space="preserve">Bootstrapped (Getlatka (https://getlatka.com/companies/cargoson.com))</t>
  </si>
  <si>
    <t xml:space="preserve">~13 emp (Getlatka (https://getlatka.com/companies/cargoson.com))</t>
  </si>
  <si>
    <t xml:space="preserve">Core product = integration surface: 2,000+ carrier integrations + ERP connectors maintained by ~13 people (cargoson.com (https://www.cargoson.com/en)); /integrations 403</t>
  </si>
  <si>
    <t xml:space="preserve">Co-founder</t>
  </si>
  <si>
    <t xml:space="preserve">A 13-person team maintaining 2000+ carrier and ERP connectors - we build the embedded engine that ships connectors without hand-coding each one.</t>
  </si>
  <si>
    <t xml:space="preserve">Noticed your 13-person team maintains 2,000+ carrier and ERP connectors - we build the embedded integration engine that lets teams like yours ship new connectors without hand-coding each one.</t>
  </si>
  <si>
    <t xml:space="preserve">Integrations page 403 during research</t>
  </si>
  <si>
    <t xml:space="preserve">Vertuoza</t>
  </si>
  <si>
    <t xml:space="preserve">vertuoza.com</t>
  </si>
  <si>
    <t xml:space="preserve">Belgium</t>
  </si>
  <si>
    <t xml:space="preserve">Construction</t>
  </si>
  <si>
    <t xml:space="preserve">Quote-to-invoice SaaS for SMB contractors (BE/FR/LU/CH)</t>
  </si>
  <si>
    <t xml:space="preserve">Series A €10M, 2023 (Fortino (https://www.fortino.vc/news/vertuoza-reinforces-its-growth-ambitions-and-successfully-concludes-its-10-million-eu-series))</t>
  </si>
  <si>
    <t xml:space="preserve">~110–123 (LeadIQ (https://leadiq.com/c/vertuoza/601737cf411f372b409a11b2))</t>
  </si>
  <si>
    <t xml:space="preserve">Outsourced accounting integrations to Chift (case study (https://www.chift.eu/case-studies/how-vertuoza-unlocked-accounting-automation-with-chifts-integrations)); review notes limited native integrations, no public API/Zapier (Skello (https://www.skello.io/blog/avis-vertuoza-alternatives))</t>
  </si>
  <si>
    <t xml:space="preserve">You solved accounting sync via Chift's unified API - get the same self-serve depth across banking, suppliers and ERP under your own brand.</t>
  </si>
  <si>
    <t xml:space="preserve">Saw you solved accounting sync via Chift's unified API - an embedded iPaaS would let you offer the same self-serve depth across banking, suppliers and ERP connectors beyond accounting, under your own brand.</t>
  </si>
  <si>
    <t xml:space="preserve">Humaans</t>
  </si>
  <si>
    <t xml:space="preserve">humaans.io</t>
  </si>
  <si>
    <t xml:space="preserve">HR/fin-ops</t>
  </si>
  <si>
    <t xml:space="preserve">HRIS</t>
  </si>
  <si>
    <t xml:space="preserve">API-first employee-data hub / HRIS for fast-growing SMBs</t>
  </si>
  <si>
    <t xml:space="preserve">Series A $15M, Oct 2022 (TechCrunch (https://techcrunch.com/2022/10/04/humaans-raises-15m-to-simplify-hr-tasks-like-onboarding/))</t>
  </si>
  <si>
    <t xml:space="preserve">~34–53 emp (Latka (https://getlatka.com/companies/humaans.io), PitchBook (https://pitchbook.com/profiles/company/442747-00))</t>
  </si>
  <si>
    <t xml:space="preserve">Reviewers: "integration support is minimal, few built-in connectors", Lattice sync is one-way, users requesting Deel integration (Research.com (https://research.com/software/reviews/humaans), SoftwareFinder (https://softwarefinder.com/hr/humaans/reviews))</t>
  </si>
  <si>
    <t xml:space="preserve">Reviewers call integration support 'minimal' and ask for Deel plus true two-way Lattice sync - exactly the long tail an embedded iPaaS closes without a connectors team.</t>
  </si>
  <si>
    <t xml:space="preserve">Your G2 reviewers love Humaans but call integration support 'minimal' and are asking for Deel and true two-way Lattice sync - that's exactly the long tail an embedded iPaaS closes without hiring a connectors team.</t>
  </si>
  <si>
    <t xml:space="preserve">Re-verify review quotes on G2/Capterra; UK counted for EU bonus</t>
  </si>
  <si>
    <t xml:space="preserve">Kenjo</t>
  </si>
  <si>
    <t xml:space="preserve">kenjo.io</t>
  </si>
  <si>
    <t xml:space="preserve">HRIS (frontline/SMB)</t>
  </si>
  <si>
    <t xml:space="preserve">All-in-one HR for frontline &amp; SMB workforces (DE/ES/LatAm)</t>
  </si>
  <si>
    <t xml:space="preserve">Series A €8.8M, Sep 2023 (Tech.eu (https://tech.eu/2023/09/18/berlin-based-kenjo-8-8m-hrtech-to-latin-america/))</t>
  </si>
  <si>
    <t xml:space="preserve">~71–98 emp (Tracxn (https://tracxn.com/d/companies/kenjo/__V7FbYPAoSJt0jRXHCCyaW3ciVaB5yeoJmRr7d7o_ao8), PitchBook (https://pitchbook.com/profiles/company/92904-13))</t>
  </si>
  <si>
    <t xml:space="preserve">"Integration with third-party software is limited"; 3.8/5 on integrations; payroll depends on DATEV/third-party connections; users asking deeper Slack integration (Research.com (https://research.com/software/reviews/kenjo), rfp.wiki (https://www.rfp.wiki/hr-office/hcm-suites-1000-employee-enterprises/hris-systems/kenjo), Capterra (https://capterra.com/p/165837/kenjo/reviews/))</t>
  </si>
  <si>
    <t xml:space="preserve">Payroll runs through DATEV bridges yet reviewers rate integrations 3.8/5 - ship the Slack/payroll connectors users keep asking for.</t>
  </si>
  <si>
    <t xml:space="preserve">Kenjo's payroll story runs through DATEV and partner connections, yet reviewers still rate your third-party integrations 3.8/5 - an embedded integration layer would let you ship the Slack/payroll connectors users keep asking for.</t>
  </si>
  <si>
    <t xml:space="preserve">Cal.com</t>
  </si>
  <si>
    <t xml:space="preserve">cal.com</t>
  </si>
  <si>
    <t xml:space="preserve">USA</t>
  </si>
  <si>
    <t xml:space="preserve">Dev tools / scheduling</t>
  </si>
  <si>
    <t xml:space="preserve">Open-source scheduling infrastructure</t>
  </si>
  <si>
    <t xml:space="preserve">Series A $25M, 2022 (VentureBeat (https://venturebeat.com/business/open-source-calendly-rival-cal-com-raises-25m))</t>
  </si>
  <si>
    <t xml:space="preserve">~44 (Tracxn (https://tracxn.com/d/companies/calcom/__IEeuL9zwIQRcTDpJAAntiwKZ0CItPOOlE9FD_QgbF4o))</t>
  </si>
  <si>
    <t xml:space="preserve">43 open "integration" issues across org; Zoho Meeting request calls Zapier workaround "cumbersome and error-prone" (#19305 (https://github.com/calcom/cal.diy/issues/19305))</t>
  </si>
  <si>
    <t xml:space="preserve">2/2/3/2/0</t>
  </si>
  <si>
    <t xml:space="preserve">There are 43 open integration requests across your GitHub org, with users calling the Zapier workaround 'cumbersome and error-prone'.</t>
  </si>
  <si>
    <t xml:space="preserve">There are 43 open integration requests across your GitHub org, with users calling the Zapier workaround 'cumbersome and error-prone' - open-source to open-source, ByteChef could power those long-tail app-store connectors so your core team stays on scheduling.</t>
  </si>
  <si>
    <t xml:space="preserve">Chatwoot</t>
  </si>
  <si>
    <t xml:space="preserve">chatwoot.com</t>
  </si>
  <si>
    <t xml:space="preserve">Customer support</t>
  </si>
  <si>
    <t xml:space="preserve">Open-source omnichannel support platform</t>
  </si>
  <si>
    <t xml:space="preserve">Seed $1.6M, YC W21 (Tracxn (https://tracxn.com/d/companies/chatwoot/__aRgDQ9vdvJArJxEw66gaFsL2oc8vTbzfUwPrEf6mpIo))</t>
  </si>
  <si>
    <t xml:space="preserve">10–12 (YC (https://www.ycombinator.com/companies/chatwoot))</t>
  </si>
  <si>
    <t xml:space="preserve">Discord integration open since 2021, 34 reactions (#1941 (https://github.com/chatwoot/chatwoot/issues/1941)); MS Teams since 2021 (#1655 (https://github.com/chatwoot/chatwoot/issues/1655)); HubSpot since 2020 (#1197 (https://github.com/chatwoot/chatwoot/issues/1197))</t>
  </si>
  <si>
    <t xml:space="preserve">Your Discord, Teams and HubSpot integration issues have been open 4-5 years with dozens of upvotes - open-source to open-source, clear the backlog.</t>
  </si>
  <si>
    <t xml:space="preserve">Your Discord, Teams, and HubSpot integration issues have been open for 4-5 years with dozens of upvotes - as a fellow open-source company we'd love to show how embedding ByteChef could clear that backlog without growing your 12-person team.</t>
  </si>
  <si>
    <t xml:space="preserve">ilert</t>
  </si>
  <si>
    <t xml:space="preserve">ilert.com</t>
  </si>
  <si>
    <t xml:space="preserve">Incident management</t>
  </si>
  <si>
    <t xml:space="preserve">AI-first incident management / on-call</t>
  </si>
  <si>
    <t xml:space="preserve">Bootstrapped, ~$1.4M ARR (getlatka (https://getlatka.com/companies/ilert.com))</t>
  </si>
  <si>
    <t xml:space="preserve">~13 (getlatka (https://getlatka.com/companies/ilert.com))</t>
  </si>
  <si>
    <t xml:space="preserve">Changelog shows team hand-shipping integrations monthly (Dynatrace, Raygun) (changelog (https://docs.ilert.com/changelog))</t>
  </si>
  <si>
    <t xml:space="preserve">2/2/2/2/1</t>
  </si>
  <si>
    <t xml:space="preserve">A 13-person bootstrapped team hand-building Dynatrace and Raygun integrations monthly - match PagerDuty's catalog without PagerDuty's headcount.</t>
  </si>
  <si>
    <t xml:space="preserve">Your changelog shows a 13-person bootstrapped team hand-building Dynatrace and Raygun integrations month after month - embedding an open-source iPaaS could let ilert match PagerDuty's catalog without PagerDuty's headcount.</t>
  </si>
  <si>
    <t xml:space="preserve">Twenty</t>
  </si>
  <si>
    <t xml:space="preserve">twenty.com</t>
  </si>
  <si>
    <t xml:space="preserve">Open-source CRM (Salesforce alt), YC S23</t>
  </si>
  <si>
    <t xml:space="preserve">Series A $38M Nov 2025 (Tracxn (https://tracxn.com/d/companies/twenty/__oyf_sCMiigApXb-QCd9gzMXlCdKb6Za7OSNrSEGQJ7E))</t>
  </si>
  <si>
    <t xml:space="preserve">unknown</t>
  </si>
  <si>
    <t xml:space="preserve">Users: missing PostHog integration "is one of the issues blocking leaving HubSpot" (Discussion #16735 (https://github.com/twentyhq/twenty/discussions/16735))</t>
  </si>
  <si>
    <t xml:space="preserve">2/1/3/2/1</t>
  </si>
  <si>
    <t xml:space="preserve">In your Native Integrations discussion, users say the missing PostHog connector blocks leaving HubSpot - ship that long tail inside Twenty.</t>
  </si>
  <si>
    <t xml:space="preserve">In your Native Integrations discussion, users say the missing PostHog connector is literally what blocks them from leaving HubSpot - ByteChef is an open-source embedded iPaaS (AGPL-friendly, self-hostable) that could ship that long tail inside Twenty.</t>
  </si>
  <si>
    <t xml:space="preserve">Headcount unknown</t>
  </si>
  <si>
    <t xml:space="preserve">Doctorly</t>
  </si>
  <si>
    <t xml:space="preserve">doctorly.de</t>
  </si>
  <si>
    <t xml:space="preserve">Health (PVS)</t>
  </si>
  <si>
    <t xml:space="preserve">Cloud practice management for German medical practices</t>
  </si>
  <si>
    <t xml:space="preserve">Series A $17.2M total (Tech.eu (https://tech.eu/2023/03/01/berlin-based-health-tech-startup-doctorly-diagnoses-10-million/), Silicon Canals (https://siliconcanals.com/doctorly-raises-6-7m/))</t>
  </si>
  <si>
    <t xml:space="preserve">~58 (ZoomInfo (https://www.zoominfo.com/c/doctorly-gmbh/507136489))</t>
  </si>
  <si>
    <t xml:space="preserve">Heavy regulated integration load (TI, GDT/DICOM); positions "integration platform for wider health industry" as product (The SaaS News (https://www.thesaasnews.com/news/doctorly-raises-10-million-in-series-a))</t>
  </si>
  <si>
    <t xml:space="preserve">You describe doctorly as including an integration platform for the wider health industry - we provide exactly that layer, open-source and embeddable.</t>
  </si>
  <si>
    <t xml:space="preserve">You've described doctorly as including an integration platform for the wider health industry - we provide exactly that layer (open-source, embeddable) so your ~60-person team doesn't have to build connector infrastructure from scratch.</t>
  </si>
  <si>
    <t xml:space="preserve">Nelly</t>
  </si>
  <si>
    <t xml:space="preserve">getnelly.de</t>
  </si>
  <si>
    <t xml:space="preserve">Health (practice fintech)</t>
  </si>
  <si>
    <t xml:space="preserve">Financial OS for medical/dental practices</t>
  </si>
  <si>
    <t xml:space="preserve">Series B €50M, Jan 2025 (Tech.eu (https://tech.eu/2025/01/15/berlin-s-nelly-raises-50m-series-b-to-free-medical-practices-from-tedious-bureaucracy/))</t>
  </si>
  <si>
    <t xml:space="preserve">unknown (1,200+ practices)</t>
  </si>
  <si>
    <t xml:space="preserve">Built own "Nelly Connector" to bridge into "any practice software" - per-PVS plumbing maintained in-house (Connector (https://www.getnelly.de/en/software-solutions/connector), partners (https://www.getnelly.de/en/partners))</t>
  </si>
  <si>
    <t xml:space="preserve">The Nelly Connector speaks to every German PVS one interface at a time - turn that connector backlog into configuration instead of engineering.</t>
  </si>
  <si>
    <t xml:space="preserve">Your Nelly Connector has to speak to every German PVS one interface at a time - an embedded integration platform could turn that connector backlog into configuration instead of engineering.</t>
  </si>
  <si>
    <t xml:space="preserve">Payaca</t>
  </si>
  <si>
    <t xml:space="preserve">payaca.com</t>
  </si>
  <si>
    <t xml:space="preserve">Field service (clean-tech trades)</t>
  </si>
  <si>
    <t xml:space="preserve">CRM/job management for solar &amp; heat-pump installers</t>
  </si>
  <si>
    <t xml:space="preserve">Seed £331k Blackfinch 2021 (PE Wire (https://www.privateequitywire.co.uk/payaca-secures-gbp331k-investment-blackfinch/))</t>
  </si>
  <si>
    <t xml:space="preserve">unknown (small)</t>
  </si>
  <si>
    <t xml:space="preserve">Four native connectors (QuickBooks, Xero, OpenSolar, Heatpunk), rest via Zapier (integrations (https://payaca.com/us/features/integrations)); 403, from indexed copy</t>
  </si>
  <si>
    <t xml:space="preserve">Four native connectors and Zapier for the rest - ship white-label native integrations (MCS bodies, suppliers, accounting) without per-connector engineering.</t>
  </si>
  <si>
    <t xml:space="preserve">Your integrations page lists four native connectors and leans on Zapier for the rest - we help vertical SaaS teams ship white-label native integrations (MCS bodies, suppliers, accounting) without per-connector engineering.</t>
  </si>
  <si>
    <t xml:space="preserve">Size unverified; last disclosed round stale</t>
  </si>
  <si>
    <t xml:space="preserve">Plancraft</t>
  </si>
  <si>
    <t xml:space="preserve">plancraft.com</t>
  </si>
  <si>
    <t xml:space="preserve">Construction (trades)</t>
  </si>
  <si>
    <t xml:space="preserve">Cloud software for craft businesses; 20k+ customers</t>
  </si>
  <si>
    <t xml:space="preserve">Series B €38M, Aug 2025 (EU-Startups (https://www.eu-startups.com/2025/08/e38-million-for-german-saas-startup-plancraft-to-lead-ai-transformation-in-european-construction/))</t>
  </si>
  <si>
    <t xml:space="preserve">~117–141 (Getlatka (https://getlatka.com/companies/plancraft.com))</t>
  </si>
  <si>
    <t xml:space="preserve">Integration story file-based: DATEV via CSV, otherwise GAEB/DATANORM exchange formats (Schnittstellen (https://plancraft.com/de-de/funktionen/software-schnittstellen))</t>
  </si>
  <si>
    <t xml:space="preserve">Your DATEV workflow still runs on CSV export/import while you scale to 11 countries - get real two-way accounting and supplier APIs.</t>
  </si>
  <si>
    <t xml:space="preserve">Your DATEV workflow is still CSV export/import - as you scale across 11 countries, an embedded integration platform gets you real two-way accounting and supplier APIs without growing an integrations team.</t>
  </si>
  <si>
    <t xml:space="preserve">Julian Wiedenhaus (CEO &amp; Co-founder)</t>
  </si>
  <si>
    <t xml:space="preserve">Atlar</t>
  </si>
  <si>
    <t xml:space="preserve">atlar.com</t>
  </si>
  <si>
    <t xml:space="preserve">Sweden</t>
  </si>
  <si>
    <t xml:space="preserve">Treasury / fin-ops</t>
  </si>
  <si>
    <t xml:space="preserve">Treasury &amp; payments platform on direct bank connectivity</t>
  </si>
  <si>
    <t xml:space="preserve">Seed €5M, Nov 2022; $13.5M total (FinSMEs (https://www.finsmes.com/2022/11/atlar-raises-e5m-in-seed-funding.html), Atlar (https://www.atlar.com/company))</t>
  </si>
  <si>
    <t xml:space="preserve">unknown (seed-to-A scale)</t>
  </si>
  <si>
    <t xml:space="preserve">Dedicated "Connectivity" team of 7 engineers growing to 9 that "builds and operates the integrations that connect Atlar to the world's banks"; hiring an EM for it (Atlar careers (https://careers.atlar.com/jobs/7898497-engineering-manager-connectivity))</t>
  </si>
  <si>
    <t xml:space="preserve">You are staffing a nine-engineer Connectivity team for bank/ERP integrations - worth comparing what an embedded open-source layer takes off that roadmap.</t>
  </si>
  <si>
    <t xml:space="preserve">You're staffing a nine-engineer Connectivity team just to keep bank and ERP integrations alive - worth comparing what an embedded, open-source integration layer could take off that roadmap.</t>
  </si>
  <si>
    <t xml:space="preserve">Johannes Elgh (CTO &amp; Co-founder)</t>
  </si>
  <si>
    <t xml:space="preserve">Hyperline</t>
  </si>
  <si>
    <t xml:space="preserve">hyperline.co</t>
  </si>
  <si>
    <t xml:space="preserve">Billing / revenue</t>
  </si>
  <si>
    <t xml:space="preserve">SMB-focused billing &amp; subscription platform</t>
  </si>
  <si>
    <t xml:space="preserve">Seed ~$14M total (incl. $10M ext, Jan 2025) (Tech.eu (https://tech.eu/2025/01/16/hyperline-raises-10m-for-automated-billing/))</t>
  </si>
  <si>
    <t xml:space="preserve">unknown (seed scale)</t>
  </si>
  <si>
    <t xml:space="preserve">Changelog shows accounting/payment connectors shipped one at a time by the core team: Zoho Books (Mar 2026), Adyen (Apr 2026), Rillet + NetSuite (May 2026) (changelog (https://docs.hyperline.co/changelog/2026-03)); integrations page not verifiable (403)</t>
  </si>
  <si>
    <t xml:space="preserve">Your changelog shows accounting connectors shipped one at a time (Zoho Books in March, NetSuite/Rillet in May) - announce ten a quarter without burning core eng.</t>
  </si>
  <si>
    <t xml:space="preserve">Your changelog shows the team shipping accounting connectors one by one - Zoho Books in March, NetSuite and Rillet in May - an embedded iPaaS would let you announce ten of those a quarter without burning core eng cycles.</t>
  </si>
  <si>
    <t xml:space="preserve">Headcount unknown; integrations page 403 during research</t>
  </si>
  <si>
    <t xml:space="preserve">Clément Garbay (Co-founder &amp; CTO)</t>
  </si>
  <si>
    <t xml:space="preserve">Payslip</t>
  </si>
  <si>
    <t xml:space="preserve">payslip.com</t>
  </si>
  <si>
    <t xml:space="preserve">Ireland</t>
  </si>
  <si>
    <t xml:space="preserve">Global payroll control</t>
  </si>
  <si>
    <t xml:space="preserve">Vendor-agnostic global-payroll control layer over HCM + local payroll providers</t>
  </si>
  <si>
    <t xml:space="preserve">Series A ~€2.7M + $10M extension, 2020–21; growth financing May 2026 (PR Newswire (https://www.prnewswire.com/news-releases/payslip-adds-10m-to-its-series-a-financing-to-disrupt-traditional-service-model-for-global-payroll-301293783.html), PR Newswire 2026 (https://www.prnewswire.com/news-releases/payslip-secures-growth-financing-to-scale-ai-global-payroll-platform-302783394.html))</t>
  </si>
  <si>
    <t xml:space="preserve">unknown (150-hire plan announced 2021, Silicon Canals (https://siliconcanals.com/payslip-raises-8-3m/))</t>
  </si>
  <si>
    <t xml:space="preserve">Business model *is* connectors: in-house "Integrations as a Service specialists" hand-built the Workday PECI multi-country connector and SuccessFactors integrations (Payslip blog (https://payslip.com/resources/blog/fastest-payroll-integration-in-workday-history-yes-we-did), Payslip Connect (https://payslip.com/product/payslip-connect))</t>
  </si>
  <si>
    <t xml:space="preserve">Your team hand-builds every HCM-to-payroll connector (Workday PECI, SuccessFactors) - the workload an embedded platform turns into configuration.</t>
  </si>
  <si>
    <t xml:space="preserve">Your team hand-builds every HCM-to-payroll connector - Workday PECI, SuccessFactors and beyond - which is precisely the workload an embedded integration platform turns from custom engineering into configuration.</t>
  </si>
  <si>
    <t xml:space="preserve">Fidelma McGuirk (Founder &amp; CEO)</t>
  </si>
  <si>
    <t xml:space="preserve">Sequence</t>
  </si>
  <si>
    <t xml:space="preserve">sequencehq.com</t>
  </si>
  <si>
    <t xml:space="preserve">Billing / CPQ / AR</t>
  </si>
  <si>
    <t xml:space="preserve">AI billing, quoting and AR automation for B2B finance teams</t>
  </si>
  <si>
    <t xml:space="preserve">Series A $20M, Dec 2025; $38M total (PYMNTS (https://www.pymnts.com/news/investment-tracker/2025/sequence-raises-20-million-for-ai-powered-billing-automation/))</t>
  </si>
  <si>
    <t xml:space="preserve">unknown (Series A scale)</t>
  </si>
  <si>
    <t xml:space="preserve">Only QuickBooks Online and Xero are native two-way accounting syncs; NetSuite handled via "NetSuite-compatible invoice exports" and "get in touch with our team" (docs - NetSuite (https://docs.sequencehq.com/integrations/netsuite), Xero (https://docs.sequencehq.com/integrations/xero))</t>
  </si>
  <si>
    <t xml:space="preserve">Your docs route NetSuite customers to CSV exports and 'talk to our team' - make NetSuite and the next ten ERPs native.</t>
  </si>
  <si>
    <t xml:space="preserve">Your docs still route NetSuite customers to CSV invoice exports and a 'talk to our team' link - embedding a white-label integration layer would make NetSuite (and the next ten ERPs) native without a connectors squad.</t>
  </si>
  <si>
    <t xml:space="preserve">Riya Grover (Co-founder &amp; CEO)</t>
  </si>
  <si>
    <t xml:space="preserve">Zelt</t>
  </si>
  <si>
    <t xml:space="preserve">zelt.app</t>
  </si>
  <si>
    <t xml:space="preserve">HR / payroll / IT ops</t>
  </si>
  <si>
    <t xml:space="preserve">All-in-one HR, payroll and device management for SMBs</t>
  </si>
  <si>
    <t xml:space="preserve">Seed $3.5M (2022) + $6M (Jan 2025), $13.2M total (EU-Startups (https://www.eu-startups.com/2025/01/hrtech-zelt-raises-e5-7-million-to-fix-people-operations-once-and-for-all/))</t>
  </si>
  <si>
    <t xml:space="preserve">Reviews flag "lack of a comprehensive integration ecosystem or a public API", syncing issues with Nest pensions, manual bank-file edits for payroll (hr.software (https://www.hr.software/reviews/zelt), Research.com (https://research.com/software/reviews/zelt))</t>
  </si>
  <si>
    <t xml:space="preserve">Reviews flag the missing integration ecosystem and public API - an embedded iPaaS gives you both, plus fixes like the Nest pension sync.</t>
  </si>
  <si>
    <t xml:space="preserve">Reviewers praise Zelt's all-in-one scope but call out the missing integration ecosystem and public API - an embedded iPaaS would give you both, plus fixes for pain points like the Nest pension sync, in one move.</t>
  </si>
  <si>
    <t xml:space="preserve">Chris Priebe (Co-founder &amp; CEO)</t>
  </si>
  <si>
    <t xml:space="preserve">Coperniq</t>
  </si>
  <si>
    <t xml:space="preserve">coperniq.io</t>
  </si>
  <si>
    <t xml:space="preserve">US vertical</t>
  </si>
  <si>
    <t xml:space="preserve">Energy/solar contractor software</t>
  </si>
  <si>
    <t xml:space="preserve">Workflow + CRM for solar/energy contractors (YC W23)</t>
  </si>
  <si>
    <t xml:space="preserve">Seed $4M, Nov 2023 (TechCrunch (https://techcrunch.com/2023/11/06/coperniq-seed-round/))</t>
  </si>
  <si>
    <t xml:space="preserve">Support docs show ~8 native integrations, rest "mediated via Zapier" (support docs (https://support.coperniq.io/integrations/quickbooks-online-and-desktop-integration)); /integrations 403</t>
  </si>
  <si>
    <t xml:space="preserve">Your support docs list about eight native integrations with the rest routed through Zapier - ship the long tail natively and white-labeled.</t>
  </si>
  <si>
    <t xml:space="preserve">Your support docs list about eight native integrations with the rest routed through Zapier - ByteChef lets solar-software teams ship the long tail natively and white-labeled without burning sprint time.</t>
  </si>
  <si>
    <t xml:space="preserve">Abdullah Al-Zandani (CEO)</t>
  </si>
  <si>
    <t xml:space="preserve">Latchel</t>
  </si>
  <si>
    <t xml:space="preserve">latchel.com</t>
  </si>
  <si>
    <t xml:space="preserve">Proptech - maintenance ops</t>
  </si>
  <si>
    <t xml:space="preserve">Maintenance ops + resident amenities for property managers (YC)</t>
  </si>
  <si>
    <t xml:space="preserve">Series A $16.7M, Jul 2022 (FinSMEs (https://www.finsmes.com/2022/07/latchel-raises-16-7m-in-series-a-funding.html))</t>
  </si>
  <si>
    <t xml:space="preserve">Series A PR earmarks funds to "deepen third party property management integrations" (PR Newswire (https://www.prnewswire.com/news-releases/latchel-closes-16-7-million-to-enhance-resident-services-and-maintenance-workflow-301593940.html))</t>
  </si>
  <si>
    <t xml:space="preserve">Your Series A announcement earmarked funds to 'deepen third party property management integrations' - compress that roadmap from quarters to weeks.</t>
  </si>
  <si>
    <t xml:space="preserve">Your Series A announcement earmarked funds to 'deepen third party property management integrations' - that is exactly the roadmap an embedded iPaaS compresses from quarters to weeks.</t>
  </si>
  <si>
    <t xml:space="preserve">Ethan Lieber (CEO &amp; Co-founder)</t>
  </si>
  <si>
    <t xml:space="preserve">Lawmatics</t>
  </si>
  <si>
    <t xml:space="preserve">lawmatics.com</t>
  </si>
  <si>
    <t xml:space="preserve">Legal - CRM/intake</t>
  </si>
  <si>
    <t xml:space="preserve">Legal CRM, intake, marketing automation for law firms</t>
  </si>
  <si>
    <t xml:space="preserve">Series A $10M, Dec 2021 (GlobeNewswire (https://www.globenewswire.com/news-release/2021/12/15/2353012/0/en/lawmatics-raises-10m-in-series-a-funding-to-change-the-way-lawyers-drive-business.html))</t>
  </si>
  <si>
    <t xml:space="preserve">G2: "weak in billing, time tracking, document management, and integrations" (G2 (https://www.g2.com/products/lawmatics/reviews?qs=pros-and-cons)); Zapier as workaround (help center (https://help.lawmatics.com/en/articles/10699986-lawmatics-zapier-app-overview))</t>
  </si>
  <si>
    <t xml:space="preserve">G2 reviewers praise your automation but repeatedly flag integrations as a weak spot - close the gap without staffing a connector team.</t>
  </si>
  <si>
    <t xml:space="preserve">G2 reviewers praise Lawmatics' automation but repeatedly flag integrations as a weak spot - an embedded iPaaS would close that gap without you staffing a dedicated connector team.</t>
  </si>
  <si>
    <t xml:space="preserve">Matt Spiegel (Founder &amp; CEO)</t>
  </si>
  <si>
    <t xml:space="preserve">Checkly</t>
  </si>
  <si>
    <t xml:space="preserve">checklyhq.com</t>
  </si>
  <si>
    <t xml:space="preserve">Observability</t>
  </si>
  <si>
    <t xml:space="preserve">Code-first synthetic monitoring</t>
  </si>
  <si>
    <t xml:space="preserve">Series B $20M Balderton Jul 2024 (blog (https://www.checklyhq.com/blog/announcing-20m-to-enable-engineers-to-detect-and-r/))</t>
  </si>
  <si>
    <t xml:space="preserve">~58 (Tracxn (https://tracxn.com/d/companies/checkly/__Tm43V0cikPcbX150mT8CmGxTOlmV1N5Fpmh-A6aB-V4))</t>
  </si>
  <si>
    <t xml:space="preserve">Public-roadmap alert-channel requests (OpsGenie #18 (https://github.com/checkly/public-roadmap/issues/18)); modest channel set (docs (https://www.checklyhq.com/docs/communicate/alerts/channels/)); /integrations 403</t>
  </si>
  <si>
    <t xml:space="preserve">2/2/1/2/1</t>
  </si>
  <si>
    <t xml:space="preserve">Your alert-channel list is a fraction of Datadog's and the community has filed integration requests for years - catalog breadth at startup cost.</t>
  </si>
  <si>
    <t xml:space="preserve">Checkly's alert-channel list is still a fraction of what Datadog offers and your community has been filing integration requests since the public-roadmap days - an embedded open-source iPaaS could give you their catalog breadth at Berlin-startup cost.</t>
  </si>
  <si>
    <t xml:space="preserve">Feedback board and integrations page 403 during research</t>
  </si>
  <si>
    <t xml:space="preserve">Hannes Lenke (CEO)</t>
  </si>
  <si>
    <t xml:space="preserve">Infisical</t>
  </si>
  <si>
    <t xml:space="preserve">infisical.com</t>
  </si>
  <si>
    <t xml:space="preserve">Security</t>
  </si>
  <si>
    <t xml:space="preserve">Open-source secrets/identity management</t>
  </si>
  <si>
    <t xml:space="preserve">Series A $16M Jun 2025 (PR Newswire (https://www.prnewswire.com/news-releases/infisical-secures-16m-series-a-to-redefine-enterprise-secrets-identity-and-access-management-302475063.html))</t>
  </si>
  <si>
    <t xml:space="preserve">~20–50 (Startup Intros (https://startupintros.com/orgs/infisical))</t>
  </si>
  <si>
    <t xml:space="preserve">Native-sync bugs open for years: duplicate syncs since May 2023 (#611 (https://github.com/Infisical/infisical/issues/611)), GitLab masked-sync since Jun 2024 (#2035 (https://github.com/Infisical/infisical/issues/2035))</t>
  </si>
  <si>
    <t xml:space="preserve">2/2/2/2/0</t>
  </si>
  <si>
    <t xml:space="preserve">Secret-sync bugs like the GitLab masked-sync failure sit open since 2024 across your hand-built connector fleet - we maintain 190+ so yours do not rot.</t>
  </si>
  <si>
    <t xml:space="preserve">Secret-sync integrations are core to Infisical, yet bugs like the GitLab masked-sync failure have sat open since 2024 across your hand-built connector fleet - a fellow open-source team, we maintain 190+ connectors so yours don't rot.</t>
  </si>
  <si>
    <t xml:space="preserve">Maidul Islam (Co-founder)</t>
  </si>
  <si>
    <t xml:space="preserve">Plane</t>
  </si>
  <si>
    <t xml:space="preserve">plane.so</t>
  </si>
  <si>
    <t xml:space="preserve">India/USA</t>
  </si>
  <si>
    <t xml:space="preserve">Project management</t>
  </si>
  <si>
    <t xml:space="preserve">Top open-source PM tool (Jira alt)</t>
  </si>
  <si>
    <t xml:space="preserve">Seed $4M OSS Capital 2024 (blog (https://plane.so/blog/plane-raises-4m-seed))</t>
  </si>
  <si>
    <t xml:space="preserve">Gitea sync open since Jul 2023, 94 reactions (#1495 (https://github.com/makeplane/plane/issues/1495)); GitLab parity (#8088 (https://github.com/makeplane/plane/issues/8088)); Mattermost (#6001 (https://github.com/makeplane/plane/issues/6001))</t>
  </si>
  <si>
    <t xml:space="preserve">2/1/3/2/0</t>
  </si>
  <si>
    <t xml:space="preserve">Your Gitea-sync issue has 94 upvotes since 2023 with GitLab parity and Mattermost queued behind it - power those syncs, keep engineers on core PM.</t>
  </si>
  <si>
    <t xml:space="preserve">Your Gitea-sync issue has 94 upvotes and has sat open since 2023 while GitLab parity and Mattermost wait behind it - as an open-source embedded iPaaS, ByteChef could power those syncs so your engineers stay on the core PM experience.</t>
  </si>
  <si>
    <t xml:space="preserve">Vamsi Kurama (CEO &amp; Co-founder)</t>
  </si>
  <si>
    <t xml:space="preserve">Secoda</t>
  </si>
  <si>
    <t xml:space="preserve">secoda.co</t>
  </si>
  <si>
    <t xml:space="preserve">Canada</t>
  </si>
  <si>
    <t xml:space="preserve">Data tools</t>
  </si>
  <si>
    <t xml:space="preserve">AI data search/catalog/lineage</t>
  </si>
  <si>
    <t xml:space="preserve">Series A $14M Craft 2023 (FinSMEs (https://www.finsmes.com/2023/09/secoda-raises-14m-in-series-a-funding.html))</t>
  </si>
  <si>
    <t xml:space="preserve">~19–22 (LeadIQ (https://leadiq.com/c/secoda/60d3333f47ed3badf9a78fdd))</t>
  </si>
  <si>
    <t xml:space="preserve">Docs promise integrations "on the roadmap" (Airflow, S3, great_expectations), invite requests via Slack/email (docs (https://docs.secoda.co/integrations))</t>
  </si>
  <si>
    <t xml:space="preserve">Your docs promise Airflow, S3 and great_expectations connectors 'on the roadmap' and ask users to email requests - clear the whole queue.</t>
  </si>
  <si>
    <t xml:space="preserve">Your integrations docs promise Airflow, S3, and great_expectations connectors 'on the roadmap' and ask users to email in requests - a 20-person team could clear that whole queue by embedding an open-source connector platform instead of building each one.</t>
  </si>
  <si>
    <t xml:space="preserve">Etai Mizrahi (CEO)</t>
  </si>
  <si>
    <t xml:space="preserve">SigNoz</t>
  </si>
  <si>
    <t xml:space="preserve">signoz.io</t>
  </si>
  <si>
    <t xml:space="preserve">Open-source OTel-native observability</t>
  </si>
  <si>
    <t xml:space="preserve">Series A $20M Dec 2025 (CB Insights (https://www.cbinsights.com/company/signoz))</t>
  </si>
  <si>
    <t xml:space="preserve">~51 (CB Insights (https://www.cbinsights.com/company/signoz))</t>
  </si>
  <si>
    <t xml:space="preserve">Discord alert-channel request open since Jan 2023 from a paying-user thread (#2154 (https://github.com/SigNoz/signoz/issues/2154)); 24 open integration issues</t>
  </si>
  <si>
    <t xml:space="preserve">The Discord alert-channel request your own team filed from a paying-user thread has been open since January 2023.</t>
  </si>
  <si>
    <t xml:space="preserve">The Discord alert-channel request your own team filed from a user Slack thread has been open since January 2023 - open-source to open-source, ByteChef could give SigNoz every alert destination Datadog has without burning core engineering time.</t>
  </si>
  <si>
    <t xml:space="preserve">Pranay Prateek (Co-founder)</t>
  </si>
  <si>
    <t xml:space="preserve">Awell</t>
  </si>
  <si>
    <t xml:space="preserve">awellhealth.com</t>
  </si>
  <si>
    <t xml:space="preserve">Health (clinical workflows)</t>
  </si>
  <si>
    <t xml:space="preserve">Developer platform for clinical workflows (CareOps)</t>
  </si>
  <si>
    <t xml:space="preserve">Seed $5M, Sep 2023 (Tech.eu (https://tech.eu/2023/09/19/awell-secures-5m-to-automate-clinician-workflows/))</t>
  </si>
  <si>
    <t xml:space="preserve">EHR connectivity hand-built extension by extension (developer hub (https://developers.awellhealth.com/awell-extensions/marketplace/athenahealth)); NOTE: partial conceptual overlap with ByteChef - scope pitch to EHR connector infra</t>
  </si>
  <si>
    <t xml:space="preserve">2/1/2/2/1</t>
  </si>
  <si>
    <t xml:space="preserve">Each EHR integration is hand-built extension by extension - a self-serve connector catalog while your team stays on care flows.</t>
  </si>
  <si>
    <t xml:space="preserve">Your extensions marketplace shows each EHR integration built by hand - an embeddable integration engine could give Awell customers a self-serve connector catalog while your team stays focused on care flows.</t>
  </si>
  <si>
    <t xml:space="preserve">Conceptual overlap with ByteChef - scope pitch to EHR connector infra</t>
  </si>
  <si>
    <t xml:space="preserve">Thomas Vande Casteele (Co-founder &amp; CEO)</t>
  </si>
  <si>
    <t xml:space="preserve">Chainels</t>
  </si>
  <si>
    <t xml:space="preserve">getchainels.com</t>
  </si>
  <si>
    <t xml:space="preserve">Netherlands</t>
  </si>
  <si>
    <t xml:space="preserve">Proptech (tenant experience)</t>
  </si>
  <si>
    <t xml:space="preserve">Tenant-experience app (400+ communities, 16 countries)</t>
  </si>
  <si>
    <t xml:space="preserve">Series A ~€3M, Jan 2023 (EuropaProperty (https://europaproperty.com/chainels-secures-e3-million-series-a-investment/))</t>
  </si>
  <si>
    <t xml:space="preserve">Syncs lease/billing/maintenance from each landlord's PMS/ERP; modest marketplace (Entrata, Lavanda, Yardi, Dynamics, HubSpot, Stripe) (marketplace (https://getchainels.com/marketplace/urbanos))</t>
  </si>
  <si>
    <t xml:space="preserve">Every new landlord runs a PMS your Entrata/Yardi connectors do not cover - stop letting PMS hookups gate deals.</t>
  </si>
  <si>
    <t xml:space="preserve">Every new landlord you sign runs a different PMS than your Entrata/Yardi connectors cover - we give vertical SaaS teams an embedded integration layer so the long tail of PMS hookups stops gating deals.</t>
  </si>
  <si>
    <t xml:space="preserve">Erwin Buckers (Founder &amp; CEO); Christiaan Titos Bolivar (Lead Developer - no formal CTO title exists)</t>
  </si>
  <si>
    <t xml:space="preserve">Dockflow</t>
  </si>
  <si>
    <t xml:space="preserve">dockflow.com</t>
  </si>
  <si>
    <t xml:space="preserve">Logistics (maritime)</t>
  </si>
  <si>
    <t xml:space="preserve">Container-tracking platform for freight forwarders</t>
  </si>
  <si>
    <t xml:space="preserve">Seed €1.4M Dec 2025 (announcement (https://dockflow.com/29b-in-cargo-tracked-dockflow-raises-e1-4m-to-turn-maritime-data-into-predictive-ai/))</t>
  </si>
  <si>
    <t xml:space="preserve">Sells on TMS/ERP/WMS hookups; connectors announced one at a time (Portbase) (post (https://dockflow.com/portbase-integration-freight-forwarders/))</t>
  </si>
  <si>
    <t xml:space="preserve">Each new forwarder means another TMS/ERP hookup like your Portbase build - let customers self-serve those connections.</t>
  </si>
  <si>
    <t xml:space="preserve">Each new forwarder you onboard means another TMS/ERP hookup like your Portbase build - an embedded iPaaS would let your customers self-serve those connections instead of your engineers building each one.</t>
  </si>
  <si>
    <t xml:space="preserve">Pauline Van Ostaeyen (Co-Founder - commercial/leadership focus, no one holds literal "CEO" title); Michiel Valee (Co-Founder / Tech Lead)</t>
  </si>
  <si>
    <t xml:space="preserve">EverReal</t>
  </si>
  <si>
    <t xml:space="preserve">everreal.co</t>
  </si>
  <si>
    <t xml:space="preserve">Proptech (leasing/sales)</t>
  </si>
  <si>
    <t xml:space="preserve">White-label rental/sale transaction automation (175k+ units)</t>
  </si>
  <si>
    <t xml:space="preserve">Seed 7-figure HTGF 2019; later unknown (HTGF (https://www.htgf.de/en/everreal-successfully-completes-seed-investment-round/))</t>
  </si>
  <si>
    <t xml:space="preserve">GTM depends on ERP interfaces to housing systems (Wodis, DOMUS, iX-Haus); Aareon connection via third-party low-code tech (Partner-Schnittstellen (https://de.everreal.co/business/partner-schnittstellen))</t>
  </si>
  <si>
    <t xml:space="preserve">The Wodis/DOMUS/iX-Haus interface list is the hardest part of every deal - reusable connectors your team configures, not codes.</t>
  </si>
  <si>
    <t xml:space="preserve">Your Wodis/DOMUS/iX-Haus interface list is the hardest part of every EverReal deal - an embedded open-source iPaaS turns those one-off ERP projects into reusable connectors your team configures, not codes.</t>
  </si>
  <si>
    <t xml:space="preserve">Later funding rounds unknown</t>
  </si>
  <si>
    <t xml:space="preserve">Nessim Djerboua (CEO &amp; Founder); Liviu Ignat (CTO &amp; Co-Founder)</t>
  </si>
  <si>
    <t xml:space="preserve">FreightSuite</t>
  </si>
  <si>
    <t xml:space="preserve">freightsuite.com</t>
  </si>
  <si>
    <t xml:space="preserve">Logistics (forwarding TMS)</t>
  </si>
  <si>
    <t xml:space="preserve">AI-native TMS positioned against CargoWise</t>
  </si>
  <si>
    <t xml:space="preserve">Pre-A $4.5M, Dec 2025 (The Loadstar (https://theloadstar.com/ls_press_release/freightsuite-secures-4-5m-pre-series-a-to-challenge-the-legacy-tms-market/))</t>
  </si>
  <si>
    <t xml:space="preserve">Roadmap IS connector buildout: Freightos, Clearport, AEB, CrimsonLogic (Freightos PR (https://www.freightos.com/press-release/freightos-enables-live-air-cargo-booking-in-freightsuites-ai-native-tms/))</t>
  </si>
  <si>
    <t xml:space="preserve">Out-integrating CargoWise needs dozens more connectors beyond Freightos and Clearport - a connector factory without diverting your AI roadmap.</t>
  </si>
  <si>
    <t xml:space="preserve">To out-integrate CargoWise you'll need dozens more connectors beyond Freightos and Clearport - an embedded open-source iPaaS gives you that connector factory without diverting your core AI roadmap.</t>
  </si>
  <si>
    <t xml:space="preserve">Size unverified</t>
  </si>
  <si>
    <t xml:space="preserve">Samuel Moore (Co-Founder (CEO per third-party org chart)); - not confirmed - (William Jacobs is technical co-founder but no source confirms a CTO-equivalent title)</t>
  </si>
  <si>
    <t xml:space="preserve">Harbor Lab</t>
  </si>
  <si>
    <t xml:space="preserve">harborlab.com</t>
  </si>
  <si>
    <t xml:space="preserve">Greece</t>
  </si>
  <si>
    <t xml:space="preserve">Logistics (maritime ops)</t>
  </si>
  <si>
    <t xml:space="preserve">Port-cost (DA) management for shipowners</t>
  </si>
  <si>
    <t xml:space="preserve">Series A €14.7M, May 2024 (EU-Startups (https://www.eu-startups.com/2024/05/greek-maritime-software-harbor-lab-raises-e14-7-million-to-streamline-port-cost-management/))</t>
  </si>
  <si>
    <t xml:space="preserve">~94–106 (Tracxn (https://tracxn.com/d/companies/harbor-lab/___3YX6sSp1IXiPlUPNMb8HGi0tkxFxqXnC1pFKUb5fC8))</t>
  </si>
  <si>
    <t xml:space="preserve">ERP/accounting hookups required; advertises cloud-ERP integration but no public connector catalog (harborlab.com (https://www.harborlab.com/))</t>
  </si>
  <si>
    <t xml:space="preserve">Every DA your platform approves lands in a shipowner's ERP - embedded white-label ERP connectors shipped in weeks.</t>
  </si>
  <si>
    <t xml:space="preserve">Every DA your platform approves ultimately lands in a shipowner's ERP - embedded, white-label ERP connectors (SAP, Navision, maritime accounting suites) are exactly what we let SaaS teams ship in weeks.</t>
  </si>
  <si>
    <t xml:space="preserve">Generic pain signal only - verify on first call</t>
  </si>
  <si>
    <t xml:space="preserve">Antonis Malaxianakis (Founder &amp; CEO); Spyros Lamprinidis (Chief Technology Officer)</t>
  </si>
  <si>
    <t xml:space="preserve">HERO Software</t>
  </si>
  <si>
    <t xml:space="preserve">hero-software.de</t>
  </si>
  <si>
    <t xml:space="preserve">Cloud software for tradespeople DACH; 30k+ users</t>
  </si>
  <si>
    <t xml:space="preserve">Series B €40M, Jul 2024 (Tech.eu (https://tech.eu/2024/07/12/hero-software-secures-40m-series-b-for-tradespeople-saas-platform/))</t>
  </si>
  <si>
    <t xml:space="preserve">125+ (one source ~230) (about (https://hero-software.de/about-us))</t>
  </si>
  <si>
    <t xml:space="preserve">Interface list bounded, partly export-based: DATEV export, Datanorm/IDS/UGL formats (Schnittstellen (https://hero-software.de/features/schnittstellen))</t>
  </si>
  <si>
    <t xml:space="preserve">Your Schnittstellen page covers DATEV export and supplier data formats - each new country means new systems; solve it embedded.</t>
  </si>
  <si>
    <t xml:space="preserve">Your Schnittstellen page covers DATEV export and supplier data formats - as the DACH market leader expands across Europe, each new country means new accounting/supplier systems, precisely the connector problem we solve embedded in your product.</t>
  </si>
  <si>
    <t xml:space="preserve">Possibly ~230 employees - verify</t>
  </si>
  <si>
    <t xml:space="preserve">Michael Kessler (Founder &amp; CEO (Geschäftsführer)); Constantin Schomburg (Chief Technology Officer)</t>
  </si>
  <si>
    <t xml:space="preserve">Legl</t>
  </si>
  <si>
    <t xml:space="preserve">legl.com</t>
  </si>
  <si>
    <t xml:space="preserve">Legal (law-firm ops)</t>
  </si>
  <si>
    <t xml:space="preserve">Payments, onboarding, AML/compliance for law firms</t>
  </si>
  <si>
    <t xml:space="preserve">Series B $18M, May 2022 (TechCrunch (https://techcrunch.com/2022/05/17/legl-series-b/))</t>
  </si>
  <si>
    <t xml:space="preserve">Only a handful of PMS connectors (Clio, Actionstep, Sharedo) vs dozens in market (integrations (https://legl.com/integrations))</t>
  </si>
  <si>
    <t xml:space="preserve">Clio, Actionstep and Sharedo are built but most UK firms sit on other PMS - cover the long tail without a connector team.</t>
  </si>
  <si>
    <t xml:space="preserve">You've built Clio, Actionstep and Sharedo integrations, but most UK firms sit on other PMS - an embedded integration platform would let you cover the long tail without a connector team.</t>
  </si>
  <si>
    <t xml:space="preserve">Julia Salasky (CEO); Matt Jared (CTO)</t>
  </si>
  <si>
    <t xml:space="preserve">Rentio</t>
  </si>
  <si>
    <t xml:space="preserve">rentio.be</t>
  </si>
  <si>
    <t xml:space="preserve">Proptech (rental mgmt)</t>
  </si>
  <si>
    <t xml:space="preserve">Rental management + payments for Belgian landlords/agencies</t>
  </si>
  <si>
    <t xml:space="preserve">Seed €1.3M Baloise 2020 (Baloise (https://www.baloise.com/en/home/news-stories/news/media-releases/2020/baloise-insurance-invests-in-digital-rental-process-of-rentio.html))</t>
  </si>
  <si>
    <t xml:space="preserve">Accounting via third-party invoicing bridge EenvoudigFactureren rather than native (help doc (https://help.eenvoudigfactureren.be/support/solutions/articles/101000479768-rentio-de-totaaloplossing-voor-ver-huur))</t>
  </si>
  <si>
    <t xml:space="preserve">Accounting sync routes through EenvoudigFactureren today - own native Exact/Winbooks/bank connections in-product.</t>
  </si>
  <si>
    <t xml:space="preserve">You route accounting sync through EenvoudigFactureren today - an embedded iPaaS would let Rentio own native Exact/Winbooks/bank connections in-product, without an integrations hire.</t>
  </si>
  <si>
    <t xml:space="preserve">Stale seed round; size unknown - confirm company activity</t>
  </si>
  <si>
    <t xml:space="preserve">Stijn Roels (CEO (LinkedIn shows "Co-Founder")); - not confirmed - (No source titles anyone CTO; Dries Van Schevensteen is Lead Engineer/Developer)</t>
  </si>
  <si>
    <t xml:space="preserve">Carv</t>
  </si>
  <si>
    <t xml:space="preserve">carv.com</t>
  </si>
  <si>
    <t xml:space="preserve">Recruiting AI</t>
  </si>
  <si>
    <t xml:space="preserve">Agentic AI for volume hiring that writes back into the ATS</t>
  </si>
  <si>
    <t xml:space="preserve">Seed $10M, Jun 2024 (PR Newswire (https://www.prnewswire.com/news-releases/amsterdam-based-carv-raises-10m-to-offload-admin-from-recruiters-and-realize-recruiter-ai-synergy-302162038.html))</t>
  </si>
  <si>
    <t xml:space="preserve">Product depends on per-ATS integrations; public list short (Bullhorn, Workable, Recruitee, Carerix, Lexo) vs. hundreds of ATSes (Bullhorn page (https://www.carv.com/integrations/bullhorn), ATS guide (https://www.carv.com/guides/guide-ai-and-the-ats-three-setups-for-seamless-recruitment-process))</t>
  </si>
  <si>
    <t xml:space="preserve">Carv's value lands only when data flows back into the customer's ATS and you support a handful today - get Bullhorn plus the long tail.</t>
  </si>
  <si>
    <t xml:space="preserve">Carv's value lands only when structured data flows back into the customer's ATS, and you support a handful today - an embedded iPaaS gets you Bullhorn-plus-the-long-tail without an integrations backlog blocking sales.</t>
  </si>
  <si>
    <t xml:space="preserve">Barend Raaff (Co-Founder - no one holds explicit "CEO" title; prior CEO experience at Harver); Steven Kroon (Chief Technology Officer)</t>
  </si>
  <si>
    <t xml:space="preserve">Circula</t>
  </si>
  <si>
    <t xml:space="preserve">circula.com</t>
  </si>
  <si>
    <t xml:space="preserve">Expense / spend</t>
  </si>
  <si>
    <t xml:space="preserve">Expense management, benefits and cards with deep DATEV focus</t>
  </si>
  <si>
    <t xml:space="preserve">Series A €12M (2022) + €15M ext (May 2025) (EU-Startups (https://www.eu-startups.com/2025/05/german-fintech-startup-circula-secures-e15-million-as-it-cuts-expense-admin-by-80/))</t>
  </si>
  <si>
    <t xml:space="preserve">~100–150 emp (EU-Startups 2022 (https://www.eu-startups.com/2022/01/berlin-based-employee-finance-app-circula-scores-e12-million-and-plans-international-expansion/))</t>
  </si>
  <si>
    <t xml:space="preserve">Integration rated weak spot at 8.2 on G2, reviewers citing "more manual entry and potential errors" (Research.com (https://research.com/software/reviews/circula), G2 (https://www.g2.com/products/circula/reviews))</t>
  </si>
  <si>
    <t xml:space="preserve">G2 scores integrations as your weakest dimension with manual re-entry complaints - extend DATEV-grade depth to every payroll and HR system.</t>
  </si>
  <si>
    <t xml:space="preserve">Circula wins on DATEV depth, but G2 scores integrations as your weakest dimension with reviewers citing manual re-entry - an embedded integration layer would extend that DATEV-grade experience to every payroll and HR system your customers run.</t>
  </si>
  <si>
    <t xml:space="preserve">Weaker pain evidence</t>
  </si>
  <si>
    <t xml:space="preserve">Nikolai Skatchkov (CEO &amp; Co-Founder); Roman Leicht (CTO &amp; Co-Founder)</t>
  </si>
  <si>
    <t xml:space="preserve">Embat</t>
  </si>
  <si>
    <t xml:space="preserve">embat.io</t>
  </si>
  <si>
    <t xml:space="preserve">Spain</t>
  </si>
  <si>
    <t xml:space="preserve">Real-time treasury management connecting banks and ERPs</t>
  </si>
  <si>
    <t xml:space="preserve">Series A €14.7M (Feb 2024), Series B €30M (May 2026) (EU-Startups (https://www.eu-startups.com/2024/02/madrid-based-fintech-embat-raises-e14-7-million-series-a-to-fuel-up-next-gen-treasury-management/), FinSMEs (https://www.finsmes.com/2026/05/embat-raises-eur30m-in-series-b-funding.html))</t>
  </si>
  <si>
    <t xml:space="preserve">unknown (~Series B scale)</t>
  </si>
  <si>
    <t xml:space="preserve">Runs an "ERP Connectivity" department; hiring "ERP (Business Central / Dynamics F&amp;O) Connectivity Specialist" + ERP Product Owner + ERP Partnerships Manager (The Org (https://theorg.com/org/embat/teams/erp-connectivity), Glassdoor (https://www.glassdoor.com/Jobs/Embat-Madrid-Spain-Jobs-EI_IE8376796.0,5_IL.6,18_IC2664239.htm))</t>
  </si>
  <si>
    <t xml:space="preserve">You are hiring ERP Connectivity Specialists per ERP flavor - the clearest sign the connector backlog is outgrowing the team.</t>
  </si>
  <si>
    <t xml:space="preserve">You're hiring ERP Connectivity Specialists per ERP flavor - Business Central, F&amp;O, SAP - the clearest sign the connector backlog is outgrowing the team; that's the exact problem we let you embed away.</t>
  </si>
  <si>
    <t xml:space="preserve">Fresh Series B; near size ceiling</t>
  </si>
  <si>
    <t xml:space="preserve">Antonio Berga (Co-CEO &amp; Founder (Carlos Serrano García-Lisón is the other Co-CEO, no LinkedIn found)); Tomás Gil (CTO)</t>
  </si>
  <si>
    <t xml:space="preserve">Kolleno</t>
  </si>
  <si>
    <t xml:space="preserve">kolleno.com</t>
  </si>
  <si>
    <t xml:space="preserve">AR / collections</t>
  </si>
  <si>
    <t xml:space="preserve">AI accounts-receivable and payments automation for SMEs</t>
  </si>
  <si>
    <t xml:space="preserve">Seed £4M, Mar 2022 (FinSMEs (https://www.finsmes.com/2022/03/kolleno-raises-4m-in-seed-funding.html))</t>
  </si>
  <si>
    <t xml:space="preserve">Product depends on ERP/CRM sync but named connector list short (NetSuite, Dynamics BC, Salesforce, SAP S/4HANA) (LeadIQ (https://leadiq.com/c/kolleno/5f7cdcc312990524e7bd8e37)); integrations page not verifiable (403)</t>
  </si>
  <si>
    <t xml:space="preserve">Your pitch is 'keeping everything in sync' yet the public connector list covers four ERPs - match Sidetrade-level breadth at seed size.</t>
  </si>
  <si>
    <t xml:space="preserve">Kolleno's pitch is 'keeping everything in sync - data, systems, people', yet the public connector list covers four ERPs; embedding an open-source iPaaS would let a seed-stage team match Sidetrade-level integration breadth.</t>
  </si>
  <si>
    <t xml:space="preserve">Dimitri Raziev (CEO &amp; Co-Founder); Ron Danenberg (CTO &amp; Founder)</t>
  </si>
  <si>
    <t xml:space="preserve">Omnea</t>
  </si>
  <si>
    <t xml:space="preserve">omnea.co</t>
  </si>
  <si>
    <t xml:space="preserve">Procurement</t>
  </si>
  <si>
    <t xml:space="preserve">Procurement orchestration &amp; supplier risk for mid-market/enterprise</t>
  </si>
  <si>
    <t xml:space="preserve">Series A $20–25M (Oct 2024, Accel); $50M follow-on Sep 2025 (TechCrunch (https://techcrunch.com/2024/10/14/omnea-raises-25m-to-tackle-the-painfully-annoying-procurement-market/), PR Newswire (https://www.prnewswire.com/news-releases/omnea-raises-50m-to-make-procurement-every-cfos-competitive-advantage-302559153.html))</t>
  </si>
  <si>
    <t xml:space="preserve">~150–170 emp (Tracxn (https://tracxn.com/d/companies/omnea/__IK_t21BAokKxT_Xn6RRwSeTmPqUzp6IYRtfnC9CcEtE))</t>
  </si>
  <si>
    <t xml:space="preserve">Hiring "Integration Solutions Engineer" (£65–95k, London) to "troubleshoot complex integration challenges" (Built In (https://builtin.com/job/integration-solutions-engineer/4797736))</t>
  </si>
  <si>
    <t xml:space="preserve">You are hiring an Integration Solutions Engineer to untangle customer integration challenges - turn bespoke hookups into a self-serve connector catalog.</t>
  </si>
  <si>
    <t xml:space="preserve">Omnea is hiring an Integration Solutions Engineer to untangle customer integration challenges - an embedded iPaaS would turn those bespoke ERP/SSO hookups into a self-serve connector catalog your CS team can drive.</t>
  </si>
  <si>
    <t xml:space="preserve">150-170 employees; near size ceiling</t>
  </si>
  <si>
    <t xml:space="preserve">Ben Freeman (Co-Founder &amp; CEO); Ben Allen (Co-Founder &amp; CTO)</t>
  </si>
  <si>
    <t xml:space="preserve">Quandri</t>
  </si>
  <si>
    <t xml:space="preserve">quandri.io</t>
  </si>
  <si>
    <t xml:space="preserve">Insurance ops</t>
  </si>
  <si>
    <t xml:space="preserve">AI renewal-intelligence platform for insurance agencies/brokerages</t>
  </si>
  <si>
    <t xml:space="preserve">Series A $8.5M (2023) + US$12M (Jul 2025) (newsroom (https://www.quandri.io/newsroom/series-a-funding-transform-insurance-process-automation), BusinessWire (https://www.businesswire.com/news/home/20250716833650/en/Quandri-Raises-US$12M-to-Scale-AI-Automation-for-Insurance-Agencies-Across-North-America))</t>
  </si>
  <si>
    <t xml:space="preserve">Growth gated on AMS connectors, each a press release: certified Applied Epic, then Vertafore AMS360 + HawkSoft Apr 2026 (BusinessWire (https://www.businesswire.com/news/home/20260407446762/en/Quandri-Expands-Integration-Ecosystem-with-Vertafore-AMS360-and-HawkSoft-Broadening-Access-to-Renewal-Intelligence), newsroom (https://www.quandri.io/newsroom/quandri-announces-certified-integration-applied-epic))</t>
  </si>
  <si>
    <t xml:space="preserve">Every AMS integration (Epic, AMS360, HawkSoft) is a months-long project and a press release - cover the AMS long tail in one quarter.</t>
  </si>
  <si>
    <t xml:space="preserve">Every new agency-management-system integration - Epic, AMS360, HawkSoft - is currently a months-long project and a press release; embedding an integration platform would let you cover the AMS long tail in one quarter.</t>
  </si>
  <si>
    <t xml:space="preserve">Jackson Fregeau (Co-Founder &amp; CEO); Heather Natour (VP of Engineering - no one holds CTO title)</t>
  </si>
  <si>
    <t xml:space="preserve">Solvimon</t>
  </si>
  <si>
    <t xml:space="preserve">solvimon.com</t>
  </si>
  <si>
    <t xml:space="preserve">Billing / monetization</t>
  </si>
  <si>
    <t xml:space="preserve">Usage-based billing platform by ex-Adyen billing leads</t>
  </si>
  <si>
    <t xml:space="preserve">Seed €9M, Nov 2023 (Northzone) (Tech.eu (https://tech.eu/2023/11/13/northzone-backs-solvimon-with-eur9-million-for-advanced-billing-solutions/))</t>
  </si>
  <si>
    <t xml:space="preserve">Public accounting connectors limited to a handful (NetSuite, Xero, QuickBooks, Exact) - thin vs. billing category norms (integrations (https://www.solvimon.com/integrations)); full page not verifiable (403)</t>
  </si>
  <si>
    <t xml:space="preserve">Four accounting connectors listed while enterprise billing deals hinge on the buyer's exact ERP - answer 'do you integrate with X?' with yes.</t>
  </si>
  <si>
    <t xml:space="preserve">Solvimon lists four accounting connectors today while enterprise billing deals routinely hinge on the customer's exact ERP - an embedded integration layer would let a seed-stage team credibly answer 'do you integrate with X?' with yes.</t>
  </si>
  <si>
    <t xml:space="preserve">Kim Verkooij (Co-Founder &amp; CEO); Etienne Gerts (Co-Founder &amp; CTO)</t>
  </si>
  <si>
    <t xml:space="preserve">Younium</t>
  </si>
  <si>
    <t xml:space="preserve">younium.com</t>
  </si>
  <si>
    <t xml:space="preserve">Subscription billing</t>
  </si>
  <si>
    <t xml:space="preserve">B2B subscription management &amp; billing for Nordic/EU SaaS</t>
  </si>
  <si>
    <t xml:space="preserve">~€2.76M Mar 2024; ~$12M total (EU-Startups (https://www.eu-startups.com/2024/03/stockholm-based-younium-secures-e2-7-million-to-solidify-subscription-management-across-europe/), Tracxn (https://tracxn.com/d/companies/younium/__Zvhv9NG1DeYTzePvzSAgC3XtGcXPEJHKyKF-GV3Z7BA))</t>
  </si>
  <si>
    <t xml:space="preserve">unknown (51–200 band per Tracxn)</t>
  </si>
  <si>
    <t xml:space="preserve">G2 reviewer: "horrible when it comes to Salesforce integration"; rigid payment setup (The CFO Club (https://thecfoclub.com/tools/younium-review/), G2 (https://www.g2.com/products/younium/reviews))</t>
  </si>
  <si>
    <t xml:space="preserve">A G2 reviewer called your Salesforce integration 'horrible' - rebuild CRM/ERP sync once and expose every connector mid-market buyers expect.</t>
  </si>
  <si>
    <t xml:space="preserve">A G2 reviewer called your Salesforce integration 'horrible' - painful to read, but fixable: an embedded integration platform would let you rebuild CRM/ERP sync once and expose every other connector your mid-market buyers expect.</t>
  </si>
  <si>
    <t xml:space="preserve">Funding picture murky; treat stage as small Series A</t>
  </si>
  <si>
    <t xml:space="preserve">Niclas Lilja (Founder &amp; CEO)</t>
  </si>
  <si>
    <t xml:space="preserve">AgVend</t>
  </si>
  <si>
    <t xml:space="preserve">agvend.com</t>
  </si>
  <si>
    <t xml:space="preserve">Agriculture - ag retail</t>
  </si>
  <si>
    <t xml:space="preserve">White-labeled digital grower portals for ag retailers</t>
  </si>
  <si>
    <t xml:space="preserve">Series B, $62.4M total (Tracxn (https://tracxn.com/d/companies/agvend/__gB1NIy7MYN1NMw3_XZqIe2pVcxCmU9ORpkhrs9lsuGQ))</t>
  </si>
  <si>
    <t xml:space="preserve">Platform defined by its "Integration Ecosystem" - every retailer onboarding needs ERP sync (agvend.com (https://www.agvend.com/))</t>
  </si>
  <si>
    <t xml:space="preserve">Your grower portals live or die by ERP, agronomy and grain-system syncs - onboard the next ag ERP without a bespoke build.</t>
  </si>
  <si>
    <t xml:space="preserve">AgVend's grower portals live or die by ERP, agronomy, and grain-system syncs - an embedded iPaaS would let you onboard the next ag ERP without a bespoke build every time.</t>
  </si>
  <si>
    <t xml:space="preserve">Round label sourced via Tracxn only</t>
  </si>
  <si>
    <t xml:space="preserve">Alexander Reichert (Co-Founder &amp; CEO); Eli Rosenberg (Co-Founder &amp; CPO)</t>
  </si>
  <si>
    <t xml:space="preserve">Archy</t>
  </si>
  <si>
    <t xml:space="preserve">archy.com</t>
  </si>
  <si>
    <t xml:space="preserve">Health - dental</t>
  </si>
  <si>
    <t xml:space="preserve">Cloud-native dental practice management</t>
  </si>
  <si>
    <t xml:space="preserve">Series A $15M ($27M total), Oct 2024 (PR Newswire (https://www.prnewswire.com/news-releases/archy-raises-15-million-series-a-round-to-transform-dental-practices-with-automated-cloud-based-platform-underpinned-by-ai-302286180.html))</t>
  </si>
  <si>
    <t xml:space="preserve">Bridges hardware/software zoo - Schick native, rest via TWAIN (sensors (https://www.archy.com/sensors)); G2 notes integration friction (G2 (https://www.g2.com/products/archy/reviews))</t>
  </si>
  <si>
    <t xml:space="preserve">Sensors, imaging AI and payer systems each still need a bespoke connector - ship them natively instead of one TWAIN driver at a time.</t>
  </si>
  <si>
    <t xml:space="preserve">Archy's pitch is replacing clunky dental-software bridges, yet sensors, imaging AI, and payer systems each still need a bespoke connector - ByteChef lets your team ship those natively instead of one TWAIN driver at a time.</t>
  </si>
  <si>
    <t xml:space="preserve">Jonathan Rat (Co-Founder &amp; CEO)</t>
  </si>
  <si>
    <t xml:space="preserve">Carepatron</t>
  </si>
  <si>
    <t xml:space="preserve">carepatron.com</t>
  </si>
  <si>
    <t xml:space="preserve">New Zealand</t>
  </si>
  <si>
    <t xml:space="preserve">Health - practice mgmt</t>
  </si>
  <si>
    <t xml:space="preserve">All-in-one practice management for health/wellness practitioners</t>
  </si>
  <si>
    <t xml:space="preserve">Seed ~$5M, Nov 2023 (TechCrunch (https://techcrunch.com/2023/11/03/carepatron/))</t>
  </si>
  <si>
    <t xml:space="preserve">Capterra: no Medicare integration, no insurance billing, financial-reporting gaps - users requesting integrations (Capterra (https://www.capterra.com/p/195467/Care-Patron/))</t>
  </si>
  <si>
    <t xml:space="preserve">Capterra reviewers keep asking for Medicare, insurance-billing and accounting integrations - embedded white-label connectors instead of hand-builds.</t>
  </si>
  <si>
    <t xml:space="preserve">Capterra reviewers love Carepatron but keep asking for Medicare, insurance-billing, and accounting integrations - we power embedded, white-label connectors so your team doesn't hand-build each one.</t>
  </si>
  <si>
    <t xml:space="preserve">Jamie Frew (Co-Founder)</t>
  </si>
  <si>
    <t xml:space="preserve">Hona</t>
  </si>
  <si>
    <t xml:space="preserve">hona.com</t>
  </si>
  <si>
    <t xml:space="preserve">Legal - client comms</t>
  </si>
  <si>
    <t xml:space="preserve">Client-communication portal for consumer law firms (YC)</t>
  </si>
  <si>
    <t xml:space="preserve">Series A $9.5M, Jun 2024 (Law.com (https://www.law.com/legaltechnews/2024/06/17/case-tracking-startup-hona-announces-9-5m-series-a-investment/))</t>
  </si>
  <si>
    <t xml:space="preserve">Depends on case-management sync; page covers a handful of PMSs (Clio, Filevine, Smokeball…) (integrations (https://www.hona.com/integrations))</t>
  </si>
  <si>
    <t xml:space="preserve">Your edge is deep case-management sync with Clio, Filevine and Smokeball - cover the next ten PMSs prospects ask about.</t>
  </si>
  <si>
    <t xml:space="preserve">Hona's edge is deep case-management sync with Clio, Filevine, and Smokeball - ByteChef would let you cover the next ten PMSs prospects ask about without growing the integrations team.</t>
  </si>
  <si>
    <t xml:space="preserve">Matt McClellan (Co-Founder); Joshua Christensen (Co-Founder &amp; CTO)</t>
  </si>
  <si>
    <t xml:space="preserve">Milk Moovement</t>
  </si>
  <si>
    <t xml:space="preserve">milkmoovement.com</t>
  </si>
  <si>
    <t xml:space="preserve">Agriculture - dairy</t>
  </si>
  <si>
    <t xml:space="preserve">Supply-chain visibility for dairy co-ops/producers/processors</t>
  </si>
  <si>
    <t xml:space="preserve">Series A $20M, Jun 2022 (PR Newswire (https://www.prnewswire.com/news-releases/milk-moovement-raises-20-million-usd-to-transform-the-dairy-industrys-supply-chain-301583386.html))</t>
  </si>
  <si>
    <t xml:space="preserve">Lab results accepted "through API, FTP, or email"; touts legacy-system integrations (Quality &amp; Labs (https://www.milkmoovement.com/products/quality-and-labs))</t>
  </si>
  <si>
    <t xml:space="preserve">You ingest lab results 'via API, FTP, or email' - turn that legacy glue into productized white-label integrations co-ops configure themselves.</t>
  </si>
  <si>
    <t xml:space="preserve">You already ingest lab results 'via API, FTP, or email' - ByteChef turns exactly that kind of legacy glue into productized, white-label integrations your co-op customers configure themselves.</t>
  </si>
  <si>
    <t xml:space="preserve">Jon King (Co-Founder &amp; CEO); Christopher O'Malley (CTO)</t>
  </si>
  <si>
    <t xml:space="preserve">RentCheck</t>
  </si>
  <si>
    <t xml:space="preserve">getrentcheck.com</t>
  </si>
  <si>
    <t xml:space="preserve">Proptech - inspections</t>
  </si>
  <si>
    <t xml:space="preserve">Resident-led property inspection automation</t>
  </si>
  <si>
    <t xml:space="preserve">Seed $2.6M ($3.6M total), Aug 2021 (TechCrunch (https://techcrunch.com/2021/08/09/rentcheck-raises-millions/))</t>
  </si>
  <si>
    <t xml:space="preserve">"Buildium integration coming soon" + thin partner set (AppFolio, Rent Manager, Zapier, Latchel) (AppFolio partner page (https://www.appfolio.com/partners/rentcheck)); from search snippets</t>
  </si>
  <si>
    <t xml:space="preserve">Buildium sits at 'coming soon' on your integrations lineup - ship Buildium, Propertyware and the PM long tail in weeks.</t>
  </si>
  <si>
    <t xml:space="preserve">Saw Buildium sitting at 'coming soon' on your integrations lineup - ByteChef lets a team your size ship Buildium, Propertyware, and the rest of the PM long tail in weeks, white-labeled.</t>
  </si>
  <si>
    <t xml:space="preserve">Signal from search snippets; may be too small to buy</t>
  </si>
  <si>
    <t xml:space="preserve">Marco Nelson (Founder &amp; CEO); Matias Pan (Head of Engineering)</t>
  </si>
  <si>
    <t xml:space="preserve">Siteline</t>
  </si>
  <si>
    <t xml:space="preserve">siteline.com</t>
  </si>
  <si>
    <t xml:space="preserve">Construction - billing</t>
  </si>
  <si>
    <t xml:space="preserve">A/R and pay-app billing for trade contractors</t>
  </si>
  <si>
    <t xml:space="preserve">Series A $15M ($18.4M total), Feb 2022 (blog (https://www.siteline.com/blog/siteline-announces-series-a-funding))</t>
  </si>
  <si>
    <t xml:space="preserve">Maintains bidirectional syncs with 8+ construction ERPs in-house (integrations (https://www.siteline.com/integrations) via search - 403; Foundation partner page (https://www.foundationsoft.com/partner/siteline/))</t>
  </si>
  <si>
    <t xml:space="preserve">You maintain bidirectional syncs to eight-plus construction ERPs in-house - offload connector maintenance and keep engineers on billing workflows.</t>
  </si>
  <si>
    <t xml:space="preserve">You maintain bidirectional syncs to Sage, Vista, Foundation, Acumatica, and QuickBooks in-house - ByteChef offloads that connector maintenance so your engineers stay on billing workflows, not ERP plumbing.</t>
  </si>
  <si>
    <t xml:space="preserve">Claire Wilson (Co-Founder &amp; CEO); Gloria Lin (Co-Founder &amp; CPO)</t>
  </si>
  <si>
    <t xml:space="preserve">VXT</t>
  </si>
  <si>
    <t xml:space="preserve">vxt.co.nz</t>
  </si>
  <si>
    <t xml:space="preserve">Legal - communications</t>
  </si>
  <si>
    <t xml:space="preserve">VoIP for law firms, auto-logs calls/time into PMSs</t>
  </si>
  <si>
    <t xml:space="preserve">Pre-A NZ$1.8M, Mar 2024 (Startup Daily (https://www.startupdaily.net/topic/funding/kiwi-legal-tech-startup-vxt-banks-1-65-million-in-pre-series-a/))</t>
  </si>
  <si>
    <t xml:space="preserve">Value prop IS PMS integrations (Clio, MyCase, LEAP, Smokeball, PracticeEvolve, Actionstep), shipped one at a time (Clio announcement (https://www.vxt.co.nz/post/vxt-clio-integration-announcement))</t>
  </si>
  <si>
    <t xml:space="preserve">You ship practice-management integrations one announcement at a time - cover the PMS long tail all at once.</t>
  </si>
  <si>
    <t xml:space="preserve">You've been shipping practice-management integrations one announcement at a time - most recently Clio - an embedded integration platform would let VXT cover the PMS long tail all at once.</t>
  </si>
  <si>
    <t xml:space="preserve">Lucy Turner (Co-Founder &amp; CTO)</t>
  </si>
  <si>
    <t xml:space="preserve">Dash0</t>
  </si>
  <si>
    <t xml:space="preserve">dash0.com</t>
  </si>
  <si>
    <t xml:space="preserve">Germany/USA</t>
  </si>
  <si>
    <t xml:space="preserve">AI-native OTel observability (Instana founder)</t>
  </si>
  <si>
    <t xml:space="preserve">Series A $35M Oct 2025 (blog (https://www.dash0.com/blog/dash0-raises-usd35-million-series-a))</t>
  </si>
  <si>
    <t xml:space="preserve">103 integrations almost all ingestion (hub (https://www.dash0.com/hub/integrations)); outbound alerting = PagerDuty + bare Slack webhook (docs (https://www.dash0.com/docs/integrations/int_alerting_pagerduty/overview))</t>
  </si>
  <si>
    <t xml:space="preserve">2/1/1/2/1</t>
  </si>
  <si>
    <t xml:space="preserve">103 ingestion integrations but alerts only reach PagerDuty and a bare Slack webhook - Datadog-grade outbound reach in one quarter.</t>
  </si>
  <si>
    <t xml:space="preserve">Dash0 lists 103 ingestion integrations but alerts still only reach PagerDuty and a bare Slack webhook - an embedded open-source iPaaS could give your young platform Datadog-grade outbound reach (Jira, ServiceNow, Opsgenie, Teams) in one quarter.</t>
  </si>
  <si>
    <t xml:space="preserve">EU status ambiguous; inferred pain</t>
  </si>
  <si>
    <t xml:space="preserve">Mirko Novakovic (CEO); Ben Blackmore (CTO)</t>
  </si>
  <si>
    <t xml:space="preserve">Formbricks</t>
  </si>
  <si>
    <t xml:space="preserve">formbricks.com</t>
  </si>
  <si>
    <t xml:space="preserve">Surveys</t>
  </si>
  <si>
    <t xml:space="preserve">Open-source in-app surveys (Qualtrics alt)</t>
  </si>
  <si>
    <t xml:space="preserve">Pre-seed OSS Capital (Crunchbase (https://www.crunchbase.com/organization/formbricks))</t>
  </si>
  <si>
    <t xml:space="preserve">Requests for Telegram - explicitly to avoid "complex third-party tools like Zapier, Make.com" (#7506 (https://github.com/formbricks/formbricks/issues/7506)) - and Snowflake (#7109 (https://github.com/formbricks/formbricks/issues/7109))</t>
  </si>
  <si>
    <t xml:space="preserve">1/1/2/2/1</t>
  </si>
  <si>
    <t xml:space="preserve">Your users file Telegram and Snowflake requests specifically to stop paying for Zapier - power those destinations inside Formbricks.</t>
  </si>
  <si>
    <t xml:space="preserve">Your users are filing requests for Telegram and Snowflake integrations specifically so they can stop paying for Zapier - as a fellow German open-source company, we could power those destinations inside Formbricks with an embedded AGPL-friendly iPaaS.</t>
  </si>
  <si>
    <t xml:space="preserve">Small team - may be below buying size</t>
  </si>
  <si>
    <t xml:space="preserve">Johannes Dancker (Founder &amp; CEO (tentative)); Matti Nannt (Founder &amp; CTO)</t>
  </si>
  <si>
    <t xml:space="preserve">kapa.ai</t>
  </si>
  <si>
    <t xml:space="preserve">Denmark</t>
  </si>
  <si>
    <t xml:space="preserve">Dev tools / AI support</t>
  </si>
  <si>
    <t xml:space="preserve">AI assistants answering from product docs</t>
  </si>
  <si>
    <t xml:space="preserve">Seed $3.2M Oct 2024 (blog (https://www.kapa.ai/blog/kapa-ai-secures-3-2m-to-advance-technical-ai-assistants))</t>
  </si>
  <si>
    <t xml:space="preserve">unknown; 16 open roles</t>
  </si>
  <si>
    <t xml:space="preserve">Value proportional to connectors: 30+ sources + Slack/Discord/Zendesk surfaces (kapa.ai (https://www.kapa.ai/)) - inferred</t>
  </si>
  <si>
    <t xml:space="preserve">Your pitch depends on 30+ doc sources plus Slack, Discord and Zendesk surfaces - every enterprise deal adds another connector ask.</t>
  </si>
  <si>
    <t xml:space="preserve">kapa's pitch depends on connecting 30+ doc sources plus Slack, Discord, and Zendesk surfaces - every new enterprise deal adds another connector ask, and an embedded open-source iPaaS would let your seed-stage team say yes to all of them.</t>
  </si>
  <si>
    <t xml:space="preserve">Inferred pain</t>
  </si>
  <si>
    <t xml:space="preserve">Emil Sorensen (CEO); Finn Bauer (Co-Founder)</t>
  </si>
  <si>
    <t xml:space="preserve">Lightdash</t>
  </si>
  <si>
    <t xml:space="preserve">lightdash.com</t>
  </si>
  <si>
    <t xml:space="preserve">Data tools / BI</t>
  </si>
  <si>
    <t xml:space="preserve">Open-source BI for dbt</t>
  </si>
  <si>
    <t xml:space="preserve">Series A $11M Accel Oct 2024 (FinSMEs (https://www.finsmes.com/2024/10/lightdash-raises-11m-in-series-a-funding.html))</t>
  </si>
  <si>
    <t xml:space="preserve">StarRocks connector open since Nov 2023 (#7940 (https://github.com/lightdash/lightdash/issues/7940)); 9 open integration issues</t>
  </si>
  <si>
    <t xml:space="preserve">2/1/2/1/1</t>
  </si>
  <si>
    <t xml:space="preserve">The StarRocks connector request has been open since 2023 - keep the Accel funding on the AI analyst, not connector plumbing.</t>
  </si>
  <si>
    <t xml:space="preserve">The StarRocks connector request has been open on your repo since 2023 - open-source to open-source, ByteChef could handle warehouse and delivery integrations so your Accel funding goes to the AI analyst, not connector plumbing.</t>
  </si>
  <si>
    <t xml:space="preserve">Hamzah Chaudhary (Co-Founder &amp; CEO); Oliver Laslett (Co-Founder &amp; CTO)</t>
  </si>
  <si>
    <t xml:space="preserve">Sifflet</t>
  </si>
  <si>
    <t xml:space="preserve">siffletdata.com</t>
  </si>
  <si>
    <t xml:space="preserve">Data observability</t>
  </si>
  <si>
    <t xml:space="preserve">Full-stack data observability/quality</t>
  </si>
  <si>
    <t xml:space="preserve">Series A €12.8M (2023) + €16M (Jun 2025) (The SaaS News (https://www.thesaasnews.com/news/sifflet-raises-12-million-in-series-a))</t>
  </si>
  <si>
    <t xml:space="preserve">Catalog ~9 data platforms + dbt/Fivetran/Airflow (integrations (https://www.siffletdata.com/product/integrations)) - thin vs Monte Carlo-class</t>
  </si>
  <si>
    <t xml:space="preserve">Data-observability deals are won on connector coverage and your public catalog lists around ten platforms - triple the surface, not the team.</t>
  </si>
  <si>
    <t xml:space="preserve">Data observability deals are won on connector coverage, and Sifflet's public catalog lists around ten platforms - embedding an open-source integration engine could triple that surface without tripling your Paris engineering team.</t>
  </si>
  <si>
    <t xml:space="preserve">Salma Bakouk (CEO &amp; Co-founder)</t>
  </si>
  <si>
    <t xml:space="preserve">Contractbook</t>
  </si>
  <si>
    <t xml:space="preserve">contractbook.com</t>
  </si>
  <si>
    <t xml:space="preserve">Legal (CLM)</t>
  </si>
  <si>
    <t xml:space="preserve">Contract automation for SMBs</t>
  </si>
  <si>
    <t xml:space="preserve">Series B $30M, Nov 2021 (Legal IT Insider (https://legaltechnology.com/clm-contractbook-raises-30m-series-b/))</t>
  </si>
  <si>
    <t xml:space="preserve">Zapier-first integration strategy ("9,000 apps on Zapier") = thin native layer (Zapier (https://zapier.com/apps/contractbook/integrations))</t>
  </si>
  <si>
    <t xml:space="preserve">Your integration story largely runs through Zapier - native white-label CRM/ERP sync that Zapier cannot match on depth or data control.</t>
  </si>
  <si>
    <t xml:space="preserve">Contractbook's integration story today largely runs through Zapier - embedding an open-source integration platform would give your customers native, white-label CRM/ERP sync that Zapier can't match on depth or data control.</t>
  </si>
  <si>
    <t xml:space="preserve">Jarek Owczarek (Founder)</t>
  </si>
  <si>
    <t xml:space="preserve">Juro</t>
  </si>
  <si>
    <t xml:space="preserve">juro.com</t>
  </si>
  <si>
    <t xml:space="preserve">Browser-native contract automation (6,000+ companies)</t>
  </si>
  <si>
    <t xml:space="preserve">Series B $23M, Jan 2022 (TechCrunch (https://techcrunch.com/2022/01/17/juro-series-b/))</t>
  </si>
  <si>
    <t xml:space="preserve">~60→130 plan (TechCrunch (https://techcrunch.com/2022/01/17/juro-series-b/))</t>
  </si>
  <si>
    <t xml:space="preserve">CRM integration "a bit buggy"; deeper Salesforce/HubSpot/Workday connectors paywalled (Signeasy roundup (https://signeasy.com/blog/business/juro-reviews))</t>
  </si>
  <si>
    <t xml:space="preserve">2/2/1/1/1</t>
  </si>
  <si>
    <t xml:space="preserve">Users call the CRM integration buggy and deeper connectors sit behind add-on pricing - make integrations a strength instead of an upsell friction.</t>
  </si>
  <si>
    <t xml:space="preserve">Users praise Juro but call the CRM integration buggy and note deeper connectors sit behind add-on pricing - an embedded iPaaS could make robust integrations a product strength instead of an upsell friction point.</t>
  </si>
  <si>
    <t xml:space="preserve">Richard Mabey (Co-Founder &amp; CEO)</t>
  </si>
  <si>
    <t xml:space="preserve">Lexroom.ai</t>
  </si>
  <si>
    <t xml:space="preserve">lexroom.ai</t>
  </si>
  <si>
    <t xml:space="preserve">Italy</t>
  </si>
  <si>
    <t xml:space="preserve">Legal (AI research)</t>
  </si>
  <si>
    <t xml:space="preserve">GenAI legal research/drafting for civil-law firms (600+ clients)</t>
  </si>
  <si>
    <t xml:space="preserve">Series A €16.2M Sep 2025, Series B €42.9M May 2026 (EU-Startups (https://www.eu-startups.com/2026/05/italian-ai-legaltech-startup-lexroom-raises-e42-9-million-series-b-eight-months-after-e16-2-million-series-a/))</t>
  </si>
  <si>
    <t xml:space="preserve">Thin public surface (uploads + SSO); third-party flags missing PMS/DMS APIs (FAQ (https://www.lexroom.ai/en/faq), Beatable (https://beatable.co/analysis/4F469B52B8) - weak authority)</t>
  </si>
  <si>
    <t xml:space="preserve">Every firm will ask for their PMS and DMS to feed your AI - deliver that connector catalog without slowing the model roadmap.</t>
  </si>
  <si>
    <t xml:space="preserve">As Lexroom expands across civil-law Europe, every firm will ask for their PMS and DMS to feed your AI - an embedded integration platform delivers that connector catalog without slowing your model roadmap.</t>
  </si>
  <si>
    <t xml:space="preserve">Weak-authority pain source; fresh large Series B</t>
  </si>
  <si>
    <t xml:space="preserve">Paolo Fois (Co-Founder &amp; CEO)</t>
  </si>
  <si>
    <t xml:space="preserve">Light</t>
  </si>
  <si>
    <t xml:space="preserve">light.inc</t>
  </si>
  <si>
    <t xml:space="preserve">Accounting / ERP</t>
  </si>
  <si>
    <t xml:space="preserve">AI-native ERP/general ledger for multinational scale-ups</t>
  </si>
  <si>
    <t xml:space="preserve">Series A $30M, Sep 2025 (Balderton) (CNBC (https://www.cnbc.com/2025/09/25/ai-finance-startup-light-raises-funding-from-revolut-backer-balderton.html))</t>
  </si>
  <si>
    <t xml:space="preserve">unknown (eng team "to triple by mid-2026", FinTech Futures (https://www.fintechfutures.com/venture-capital-funding/ai-accounting-start-up-light-targets-us-expansion-with-30m-series-a))</t>
  </si>
  <si>
    <t xml:space="preserve">Chose to partner with Atlar for bank connectivity rather than build - connector buildout off-strategy; as a NetSuite replacement must match ERP-ecosystem breadth (partnership (https://www.atlar.com/blog/light-and-atlar-partner-to-create-the-first-end-to-end-ai-native-finance-stack), vs NetSuite (https://light.inc/versus/netsuite))</t>
  </si>
  <si>
    <t xml:space="preserve">You outsourced bank connectivity to Atlar rather than build it - the same buy-not-build logic applies to the integrations a NetSuite challenger needs.</t>
  </si>
  <si>
    <t xml:space="preserve">You already outsourced bank connectivity to Atlar rather than build it - the same buy-not-build logic applies to the hundreds of business-tool integrations a NetSuite challenger needs, and that's exactly what an embedded OSS iPaaS provides.</t>
  </si>
  <si>
    <t xml:space="preserve">Jonathan Sanders (CEO)</t>
  </si>
  <si>
    <t xml:space="preserve">Numeric</t>
  </si>
  <si>
    <t xml:space="preserve">numeric.io</t>
  </si>
  <si>
    <t xml:space="preserve">Accounting close</t>
  </si>
  <si>
    <t xml:space="preserve">AI-powered month-end close and accounting automation</t>
  </si>
  <si>
    <t xml:space="preserve">Series A $28M (Oct 2024), Series B $51M (Nov 2025) (TechCrunch (https://techcrunch.com/2024/10/10/numeric-grabs-28m-series-a-for-automating-accounting-with-ai/), StartupHub.ai (https://www.startuphub.ai/startups/numeric))</t>
  </si>
  <si>
    <t xml:space="preserve">~83–117 emp (PitchBook (https://pitchbook.com/profiles/company/470657-80))</t>
  </si>
  <si>
    <t xml:space="preserve">GL connectors limited to NetSuite, QBO, Xero, Sage Intacct; no QuickBooks Enterprise - named gap (CurateSuite (https://curatesuite.com/accounting/tools/numeric))</t>
  </si>
  <si>
    <t xml:space="preserve">Your close automation reaches four GLs and QuickBooks Enterprise is a named gap - chase FloQast's ERP coverage without diverting AI engineers.</t>
  </si>
  <si>
    <t xml:space="preserve">Numeric's close automation only reaches four GLs today and reviewers name QuickBooks Enterprise as a hard gap - an embedded integration platform would let you chase FloQast's ERP coverage without diverting AI engineers to connectors.</t>
  </si>
  <si>
    <t xml:space="preserve">Parker Gilbert (Co-Founder &amp; CEO); Andrew Bihl (Co-Founder &amp; CTO)</t>
  </si>
  <si>
    <t xml:space="preserve">Pivot</t>
  </si>
  <si>
    <t xml:space="preserve">pivotapp.ai</t>
  </si>
  <si>
    <t xml:space="preserve">Procurement / AP</t>
  </si>
  <si>
    <t xml:space="preserve">AI source-to-pay platform for scale-ups and enterprises</t>
  </si>
  <si>
    <t xml:space="preserve">Series B €34.4M (May 2026); €60M total (EU-Startups (https://www.eu-startups.com/2026/05/paris-pivot-pockets-e34-4-million-to-power-enterprise-procurement-with-agentic-ai/))</t>
  </si>
  <si>
    <t xml:space="preserve">~95–104 emp (PitchBook (https://pitchbook.com/profiles/company/537348-16), Latka (https://getlatka.com/companies/pivot-app))</t>
  </si>
  <si>
    <t xml:space="preserve">Native ERP integrations limited to NetSuite, SAP S/4HANA, Workday; rest pushed to an open API customers must build against (integrations (https://www.pivotapp.ai/integrations))</t>
  </si>
  <si>
    <t xml:space="preserve">Three native ERP integrations and an open API for the rest - productize the build-it-yourself tail as you push into 25+ countries.</t>
  </si>
  <si>
    <t xml:space="preserve">Pivot ships three native ERP integrations and an open API for the rest - as you push into 25+ countries, an embedded iPaaS would turn that 'build it yourself' tail into productized connectors your enterprise buyers can switch on.</t>
  </si>
  <si>
    <t xml:space="preserve">Weaker pain evidence; fresh Series B</t>
  </si>
  <si>
    <t xml:space="preserve">Romain Libeau (Co-Founder)</t>
  </si>
  <si>
    <t xml:space="preserve">Upflow</t>
  </si>
  <si>
    <t xml:space="preserve">upflow.io</t>
  </si>
  <si>
    <t xml:space="preserve">Accounts-receivable collection and payment platform</t>
  </si>
  <si>
    <t xml:space="preserve">Series A $15M (2021) + $5M (Apr 2024, YC/Lorimer) (FinSMEs (https://www.finsmes.com/2021/06/upflow-raises-15m-in-series-a-funding.html), Tracxn (https://tracxn.com/d/companies/upflow/__X0otRP4QUpn4jYATFOn_7c0VzkQ6Ye_ovmZ5esICM7Y))</t>
  </si>
  <si>
    <t xml:space="preserve">Native connector set small (~NetSuite, QBO, Xero, Sage Intacct, Rillet + CRM); reviewers with complex models report "synchronization depends on manual tasks" (Research.com (https://research.com/software/reviews/upflow-review), support hub (https://support.upflow.io/hc/en-us/categories/13815951388945-Integrations))</t>
  </si>
  <si>
    <t xml:space="preserve">Your half-dozen native ERP connectors are well-loved, but complex stacks still fall back to manual syncs - cover the billing-tool long tail.</t>
  </si>
  <si>
    <t xml:space="preserve">Upflow's half-dozen native ERP connectors are well-loved, but reviewers with complex stacks still fall back to manual syncs - an embedded integration layer would cover the billing-tool long tail without growing your core team.</t>
  </si>
  <si>
    <t xml:space="preserve">Alexandre Louisy (Co-Founder &amp; CEO)</t>
  </si>
  <si>
    <t xml:space="preserve">AgriWebb</t>
  </si>
  <si>
    <t xml:space="preserve">agriwebb.com</t>
  </si>
  <si>
    <t xml:space="preserve">Australia</t>
  </si>
  <si>
    <t xml:space="preserve">Agriculture - livestock</t>
  </si>
  <si>
    <t xml:space="preserve">Livestock management for ranchers (AU/US/UK)</t>
  </si>
  <si>
    <t xml:space="preserve">Series B AU$40M ($64.6M total) (Business News Australia (https://www.businessnewsaustralia.com/articles/livestock-management-platform-agriwebb-closes-series-b-funding-round-at--40-million.html))</t>
  </si>
  <si>
    <t xml:space="preserve">Marketplace promises "growing number" of systems; pushes partners to GraphQL API to self-integrate (Marketplace help (https://help.agriwebb.com/en/articles/6976821-agriwebb-marketplace-integrations))</t>
  </si>
  <si>
    <t xml:space="preserve">Your Marketplace promises a 'growing number' of connected farm systems - grow that number tenfold without a partner-engineering backlog.</t>
  </si>
  <si>
    <t xml:space="preserve">Your Marketplace promises a 'growing number' of connected farm systems - ByteChef is how vertical SaaS teams grow that number tenfold without a partner-engineering backlog.</t>
  </si>
  <si>
    <t xml:space="preserve">Kevin Baum (CEO &amp; Co-Founder)</t>
  </si>
  <si>
    <t xml:space="preserve">Alvys</t>
  </si>
  <si>
    <t xml:space="preserve">alvys.com</t>
  </si>
  <si>
    <t xml:space="preserve">Logistics - TMS</t>
  </si>
  <si>
    <t xml:space="preserve">AI-powered cloud TMS for carriers/brokers</t>
  </si>
  <si>
    <t xml:space="preserve">Series B $40M ($77M total), 2025 (FreightWaves (https://www.freightwaves.com/news/alvys-40m-series-b-streamlining-freight-operations))</t>
  </si>
  <si>
    <t xml:space="preserve">Series B proceeds partly to "expanding partnerships and integrations" (Crunchbase News (https://news.crunchbase.com/transportation/logistics-software-startup-seriesb-alvys/)); maintains 100+ connectors in-house</t>
  </si>
  <si>
    <t xml:space="preserve">Series B proceeds partly go to 'expanding partnerships and integrations' - scale past 100 connectors without scaling integrations headcount.</t>
  </si>
  <si>
    <t xml:space="preserve">Your Series B coverage says part of the raise goes to 'expanding partnerships and integrations' - we help TMS teams scale past their first 100 connectors without scaling the integrations headcount.</t>
  </si>
  <si>
    <t xml:space="preserve">Mature integrations; scale-the-tail pitch</t>
  </si>
  <si>
    <t xml:space="preserve">Nick Darman (Founder &amp; CEO); Leo Gorodinski (⚠️ Former Co-Founder &amp; CTO (Oct 2020–Feb 2026; now Founder at Cohesive Systems))</t>
  </si>
  <si>
    <t xml:space="preserve">Cargado</t>
  </si>
  <si>
    <t xml:space="preserve">cargado.com</t>
  </si>
  <si>
    <t xml:space="preserve">Logistics - cross-border</t>
  </si>
  <si>
    <t xml:space="preserve">Invite-only load board for US–Mexico freight</t>
  </si>
  <si>
    <t xml:space="preserve">Series A $12M, Apr 2025 (Built In Chicago (https://www.builtinchicago.org/articles/cargado-raises-12m-series-a-20250408))</t>
  </si>
  <si>
    <t xml:space="preserve">"Integrated marketplace" positioning; brokers/carriers run own TMSs → connector roadmap implied (blog (https://cargado.com/blog/cargado-raises-12m-to-build-integrated-cross-border-freight-marketplace/)); no public integrations directory</t>
  </si>
  <si>
    <t xml:space="preserve">You are building the 'integrated' cross-border marketplace - embedded TMS and customs-broker connectors are the productized version of that promise.</t>
  </si>
  <si>
    <t xml:space="preserve">You're building the 'integrated' cross-border marketplace - embedded TMS and customs-broker connectors for your 200+ customers are exactly what ByteChef productizes for logistics platforms.</t>
  </si>
  <si>
    <t xml:space="preserve">Inferred pain; very young company</t>
  </si>
  <si>
    <t xml:space="preserve">Matt Silver (Co-Founder &amp; CEO); Rylan Hawkins (Co-Founder &amp; CTO)</t>
  </si>
  <si>
    <t xml:space="preserve">Otto</t>
  </si>
  <si>
    <t xml:space="preserve">otto.vet</t>
  </si>
  <si>
    <t xml:space="preserve">Health - veterinary</t>
  </si>
  <si>
    <t xml:space="preserve">Client engagement + payments for vet clinics (ex-TeleVet)</t>
  </si>
  <si>
    <t xml:space="preserve">Series B $43M, Aug 2023 (Business Wire (https://www.businesswire.com/news/home/20230831425472/en/TeleVet-Announces-$43-Million-Series-B-on-the-Heels-of-Record-Growth-Rebrands-as-Otto))</t>
  </si>
  <si>
    <t xml:space="preserve">Competes on PIMS integration breadth - each a hand-built sync (VetSoftwareHub (https://www.vetsoftwarehub.com/product/otto))</t>
  </si>
  <si>
    <t xml:space="preserve">Extend your PIMS coverage lead to every long-tail PIMS without hand-building each sync.</t>
  </si>
  <si>
    <t xml:space="preserve">Otto leads the category on PIMS coverage - Cornerstone, AVImark, ezyVet and the rest - and ByteChef would let you extend that lead to every long-tail PIMS without hand-building each sync.</t>
  </si>
  <si>
    <t xml:space="preserve">May exceed 200 employees - verify</t>
  </si>
  <si>
    <t xml:space="preserve">Zeynep Young (CEO)</t>
  </si>
  <si>
    <t xml:space="preserve">Rose Rocket</t>
  </si>
  <si>
    <t xml:space="preserve">roserocket.com</t>
  </si>
  <si>
    <t xml:space="preserve">Network-centric TMS for trucking/3PLs</t>
  </si>
  <si>
    <t xml:space="preserve">Series B $38M ($69M total), Jun 2023 (Business Wire (https://www.businesswire.com/news/home/20230620643042/en/Rose-Rocket-Raises-$38M-USD-Series-B-to-Scale-its-Network-Centric-TMS-Solutions-while-Expanding-into-the-Enterprise))</t>
  </si>
  <si>
    <t xml:space="preserve">Platform Partner Program asks third parties to build against its SDK - demand exceeds in-house capacity (integration-partners (https://www.roserocket.com/integration-partners))</t>
  </si>
  <si>
    <t xml:space="preserve">Your Platform Partner Program asks partners to build against your SDK - flip the model and own the long-tail integrations in-product.</t>
  </si>
  <si>
    <t xml:space="preserve">Your Platform Partner Program asks partners to build against your SDK - ByteChef flips that model so your own team ships and owns the long-tail integrations customers ask for, white-labeled inside Rose Rocket.</t>
  </si>
  <si>
    <t xml:space="preserve">Mature partner program; scale-the-tail pitch</t>
  </si>
  <si>
    <t xml:space="preserve">Alexander Luksidadi (Founder &amp; CTO)</t>
  </si>
  <si>
    <t xml:space="preserve">Documenso</t>
  </si>
  <si>
    <t xml:space="preserve">documenso.com</t>
  </si>
  <si>
    <t xml:space="preserve">E-signature</t>
  </si>
  <si>
    <t xml:space="preserve">Open-source e-signature (DocuSign alt)</t>
  </si>
  <si>
    <t xml:space="preserve">Pre-seed ~$1.5–2.2M OSS Capital (Product Hunt (https://www.producthunt.com/products/documenso))</t>
  </si>
  <si>
    <t xml:space="preserve">~10</t>
  </si>
  <si>
    <t xml:space="preserve">n8n integration in public backlog (backlog #7 (https://github.com/documenso/backlog/issues/7))</t>
  </si>
  <si>
    <t xml:space="preserve">1/1/2/1/1</t>
  </si>
  <si>
    <t xml:space="preserve">The n8n integration is queued in your public backlog behind core signing work - Zapier-class connectivity without touching your roadmap.</t>
  </si>
  <si>
    <t xml:space="preserve">Your public backlog has the n8n integration queued behind core signing work - as a fellow open-source company, ByteChef could be the embedded integration layer that ships Zapier-class connectivity for Documenso without touching your roadmap.</t>
  </si>
  <si>
    <t xml:space="preserve">May be under 10 people; incorporation ambiguous</t>
  </si>
  <si>
    <t xml:space="preserve">Timur Ercan (Co-Founder &amp; CEO)</t>
  </si>
  <si>
    <t xml:space="preserve">Pylon</t>
  </si>
  <si>
    <t xml:space="preserve">usepylon.com</t>
  </si>
  <si>
    <t xml:space="preserve">B2B-native support (Slack/Teams-first)</t>
  </si>
  <si>
    <t xml:space="preserve">Series B $31M Aug 2025 (blog (https://www.usepylon.com/blog/announcing-our-31m-series-b))</t>
  </si>
  <si>
    <t xml:space="preserve">unknown; hiring 23 roles</t>
  </si>
  <si>
    <t xml:space="preserve">Integration-heavy category + hiring surge; no direct pain artifact found</t>
  </si>
  <si>
    <t xml:space="preserve">2/1/1/2/0</t>
  </si>
  <si>
    <t xml:space="preserve">Every deal hinges on another Slack-Teams-Salesforce-Jira permutation - before the post-Series-B hiring wave goes to connector maintenance.</t>
  </si>
  <si>
    <t xml:space="preserve">Every Pylon deal seems to hinge on another Slack-Teams-Salesforce-Jira permutation - before your post-Series B hiring wave goes to connector maintenance, worth seeing how an embedded open-source iPaaS handles that long tail.</t>
  </si>
  <si>
    <t xml:space="preserve">No direct pain artifact found - verify first</t>
  </si>
  <si>
    <t xml:space="preserve">Marty Kausas (Co-Founder &amp; CEO); Advith Chelikani (Co-Founder)</t>
  </si>
  <si>
    <t xml:space="preserve">Zenskar</t>
  </si>
  <si>
    <t xml:space="preserve">zenskar.com</t>
  </si>
  <si>
    <t xml:space="preserve">Billing / rev-rec</t>
  </si>
  <si>
    <t xml:space="preserve">AI-native billing and revenue automation for B2B</t>
  </si>
  <si>
    <t xml:space="preserve">Series A $15M, Apr 2026 (BusinessWire (https://www.businesswire.com/news/home/20260416872552/en/Zenskar-Raises-$15-Million-Series-A-to-Expand-Agentic-Capabilities-for-B2B-Revenue-Automation))</t>
  </si>
  <si>
    <t xml:space="preserve">Weakest signal: markets "200+ integrations" with two-way sync - maintaining that at Series A headcount is itself the cost problem; no public complaints found (comparison (https://www.zenskar.com/comparison/zonebilling-vs-ordway), G2 (https://www.g2.com/products/zenskar/reviews))</t>
  </si>
  <si>
    <t xml:space="preserve">Promising 200+ two-way integrations on a Series A team is a permanent maintenance tax - worth comparing notes on running that catalog embedded.</t>
  </si>
  <si>
    <t xml:space="preserve">Promising 200+ two-way integrations with a Series A-sized team means a permanent maintenance tax - worth comparing notes on running that catalog on an embedded open-source integration platform instead.</t>
  </si>
  <si>
    <t xml:space="preserve">Weakest evidence in segment</t>
  </si>
  <si>
    <t xml:space="preserve">Apurv Bansal (Co-Founder &amp; CEO); Saurabh Agrawal (Co-Founder &amp; CTO/CFO)</t>
  </si>
  <si>
    <t xml:space="preserve">SPRY</t>
  </si>
  <si>
    <t xml:space="preserve">sprypt.com</t>
  </si>
  <si>
    <t xml:space="preserve">Health - outpatient rehab</t>
  </si>
  <si>
    <t xml:space="preserve">EMR + RCM for PT/OT/speech clinics</t>
  </si>
  <si>
    <t xml:space="preserve">Series B, $25M total (Tracxn (https://tracxn.com/d/companies/spry/__pLjNtk5sG3VphYUFibwdCbJtfwj5SjzDjmUWwYDN5og))</t>
  </si>
  <si>
    <t xml:space="preserve">Inferred only: enterprise upmarket motion implies EHR/clearinghouse integration asks (enterprise EMR post (https://www.sprypt.com/blog/enterprise-emr-physical-therapy))</t>
  </si>
  <si>
    <t xml:space="preserve">Enterprise rehab deals bring EHR and clearinghouse integration asks - say yes without pulling engineers off the core EMR.</t>
  </si>
  <si>
    <t xml:space="preserve">As SPRY pushes into enterprise rehab groups, every deal brings an EHR and clearinghouse integration ask - ByteChef lets you say yes without pulling engineers off the core EMR.</t>
  </si>
  <si>
    <t xml:space="preserve">Weakest evidence in segment; 236 employees</t>
  </si>
  <si>
    <t xml:space="preserve">Brijraj Bhuptani (Co-Founder &amp; CEO)</t>
  </si>
  <si>
    <t xml:space="preserve">Rentlio</t>
  </si>
  <si>
    <t xml:space="preserve">rentl.io</t>
  </si>
  <si>
    <t xml:space="preserve">Croatia</t>
  </si>
  <si>
    <t xml:space="preserve">Hospitality (PMS / channel manager)</t>
  </si>
  <si>
    <t xml:space="preserve">Cloud PMS, channel manager and booking engine for SE-European hotels and apartments</t>
  </si>
  <si>
    <t xml:space="preserve">Infinum Ventures partnership 2022 (about (https://rentl.io/en/about-us)); HAMAG-BICRO loan 2020; no VC round found</t>
  </si>
  <si>
    <t xml:space="preserve">23–39 (ZoomInfo (https://www.zoominfo.com/c/rentlio/429753095)); IT team about 10</t>
  </si>
  <si>
    <t xml:space="preserve">Fiskalizacija 2.0 e-invoicing supports only one intermediary, moj-eRačun (help (https://help.rentl.io/en/articles/10515786-moj-e-racun)); unlisted integrations go to an integrations@ inbox (integrations (https://rentl.io/en/integrations)); reviews want better accounting info (HTR (https://hoteltechreport.com/operations/property-management-systems/rentlio)), seen only as a search summary</t>
  </si>
  <si>
    <t xml:space="preserve">Your eRačun flow runs through moj-eRačun alone and anything else goes to an integrations@ inbox. We'd let Rentlio ship white-label connectors to every intermediary, accounting tool and lock vendor your hoteliers ask for, without your dev team building each one.</t>
  </si>
  <si>
    <t xml:space="preserve">Review-site complaint from a search summary</t>
  </si>
  <si>
    <t xml:space="preserve">Ivan Padavić (CTO and co-founder); Marko Mišulić (CEO and co-founder)</t>
  </si>
  <si>
    <t xml:space="preserve">Lemax</t>
  </si>
  <si>
    <t xml:space="preserve">lemax.net</t>
  </si>
  <si>
    <t xml:space="preserve">Travel (tour-operator / DMC software)</t>
  </si>
  <si>
    <t xml:space="preserve">Cloud reservation and back-office system for multi-day tour operators and DMCs</t>
  </si>
  <si>
    <t xml:space="preserve">Private, unfunded (Tracxn (https://tracxn.com/d/companies/lemax/__Q6tQlVe_fCoy8EP_fZiqhCR86GDhobOolu2URzlahmA))</t>
  </si>
  <si>
    <t xml:space="preserve">"Team of 70+" (careers (https://lemax.net/careers-and-jobs/))</t>
  </si>
  <si>
    <t xml:space="preserve">Ready-made accounting connectors only for QuickBooks and Oracle ERP; everyone else told to "use our Accounting API" (finance page (https://lemax.net/finances-and-accounting/)); hiring implementation consultants</t>
  </si>
  <si>
    <t xml:space="preserve">Lemax ships QuickBooks and Oracle, and every other tour operator gets an API and a to-do list. An embedded integration layer would let you offer native Xero, DATEV, Pantheon and eRačun connectors under the Lemax brand.</t>
  </si>
  <si>
    <t xml:space="preserve">Verify CTO is still in role</t>
  </si>
  <si>
    <t xml:space="preserve">Marko Elezović (CTO / Head of Engineering (may have moved on)); Mate Kostovski (CEO)</t>
  </si>
  <si>
    <t xml:space="preserve">AGRIVI</t>
  </si>
  <si>
    <t xml:space="preserve">agrivi.com</t>
  </si>
  <si>
    <t xml:space="preserve">Agritech (farm management)</t>
  </si>
  <si>
    <t xml:space="preserve">Farm management and agri-food data platform for growers, food companies and co-ops</t>
  </si>
  <si>
    <t xml:space="preserve">Series A €4M (SCV, EIF, HBOR) (Tech.eu (https://tech.eu/2020/11/17/agtech-agrivi-funding-farm-management-software)); about $7.3M total (Tracxn (https://tracxn.com/d/companies/agrivi/__BJv6Gfe3_socGZLvcMNV__bJDSRupJiXPgTFhYkJFEI))</t>
  </si>
  <si>
    <t xml:space="preserve">about 40 (Craft (https://craft.co/agrivi))</t>
  </si>
  <si>
    <t xml:space="preserve">Has an "Integration Partner" tier to deliver ERP, CRM, BI, IoT and custom integrations per customer (partner program (https://www.agrivi.com/partner-program/)), so enterprise integrations are bespoke; also has a business API for SAP and MS Dynamics</t>
  </si>
  <si>
    <t xml:space="preserve">Your partner program exists to hand-build ERP, CRM and BI integrations for each enterprise customer. We'd turn those one-off projects into a white-label connector catalogue inside AGRIVI.</t>
  </si>
  <si>
    <t xml:space="preserve">Matija Žulj (Founder and CEO)</t>
  </si>
  <si>
    <t xml:space="preserve">Nokumo</t>
  </si>
  <si>
    <t xml:space="preserve">nokumo.net</t>
  </si>
  <si>
    <t xml:space="preserve">Hospitality (PMS)</t>
  </si>
  <si>
    <t xml:space="preserve">Hotel and vacation-rental PMS with fiscal compliance for HR, SI, DE, AT, IT and CH</t>
  </si>
  <si>
    <t xml:space="preserve">Bootstrapped; founding capital from SmartIT and Infranet (incorporation (https://www.nokumo.net/en/incorporation-information))</t>
  </si>
  <si>
    <t xml:space="preserve">about 9 named (about (https://www.nokumo.net/about-us)); ZoomInfo conflicts (1–10 vs 50–100)</t>
  </si>
  <si>
    <t xml:space="preserve">Three accounting/ERP connectors, with Pantheon and two POS (Elektronček, Mikrogram) "coming soon"; ViDA on the roadmap; six fiscal regimes (integrations (https://www.nokumo.net/integrations)); its own positioning is against "EUR 5,000 for a fiscal integration"</t>
  </si>
  <si>
    <t xml:space="preserve">Pantheon and two POS connectors are still 'coming soon' while you expand across six fiscal jurisdictions. We'd let a small team ship white-label accounting and POS connectors without each one taking a sprint.</t>
  </si>
  <si>
    <t xml:space="preserve">Headcount and founding year conflict</t>
  </si>
  <si>
    <t xml:space="preserve">Marko Brković (CTO); Nikola Crnković (CPO / CRO)</t>
  </si>
  <si>
    <t xml:space="preserve">Mireo</t>
  </si>
  <si>
    <t xml:space="preserve">mireo.com</t>
  </si>
  <si>
    <t xml:space="preserve">Logistics (fleet telematics)</t>
  </si>
  <si>
    <t xml:space="preserve">GPS navigation SDKs and Mireo Fleet vehicle-tracking SaaS</t>
  </si>
  <si>
    <t xml:space="preserve">Private, no VC (Wikipedia (https://en.wikipedia.org/wiki/Mireo))</t>
  </si>
  <si>
    <t xml:space="preserve">about 61 (ZoomInfo (https://www.zoominfo.com/c/mireo/425122535)), from a search summary</t>
  </si>
  <si>
    <t xml:space="preserve">ERP integration is DIY: customers request an API key and docs; fuel cards and tachograph are the only packaged integrations (Mireo Fleet (https://www.mireo.com/mireofleet))</t>
  </si>
  <si>
    <t xml:space="preserve">Today a Mireo Fleet customer who wants trip and fuel data in their ERP gets an API key and docs. Embedded, pre-built ERP, accounting and payroll connectors would remove that step.</t>
  </si>
  <si>
    <t xml:space="preserve">Ivica Siladić (CTO and co-founder)</t>
  </si>
  <si>
    <t xml:space="preserve">DotYourSpot</t>
  </si>
  <si>
    <t xml:space="preserve">dotyourspot.com</t>
  </si>
  <si>
    <t xml:space="preserve">Hospitality (restaurant tech)</t>
  </si>
  <si>
    <t xml:space="preserve">Restaurant, bar and hotel operations suite: menus, reservations, POS, reviews; 1,500+ venues</t>
  </si>
  <si>
    <t xml:space="preserve">Bootstrapped (Latka (https://getlatka.com/companies/dotyourspot.com))</t>
  </si>
  <si>
    <t xml:space="preserve">17–20 (Latka (https://getlatka.com/companies/dotyourspot.com))</t>
  </si>
  <si>
    <t xml:space="preserve">8 integrations, 2 of them its own products; only 2 cash registers (Remaris, Avail.IT), each shipped as its own page (integrations (https://www.dotyourspot.com/en/integrations))</t>
  </si>
  <si>
    <t xml:space="preserve">With 1,500+ venues and two cash-register integrations, every venue on a different fiscal POS is a sales blocker. We'd let DotYourSpot ship the rest of the Croatian POS market as native connectors.</t>
  </si>
  <si>
    <t xml:space="preserve">Karlo Đuderija (CTO and co-founder); Zlatko Kovačić (CEO and founder)</t>
  </si>
  <si>
    <t xml:space="preserve">MMK Systems (Booking Manager)</t>
  </si>
  <si>
    <t xml:space="preserve">booking-manager.com</t>
  </si>
  <si>
    <t xml:space="preserve">Travel (yacht charter)</t>
  </si>
  <si>
    <t xml:space="preserve">Charter booking and back office: 1,300+ fleet operators, 5,000+ agents</t>
  </si>
  <si>
    <t xml:space="preserve">No funding found; founder-led (our story (https://www.mmksystems.com/en/our-story.html))</t>
  </si>
  <si>
    <t xml:space="preserve">about 32 (CB Insights (https://www.cbinsights.com/company/mmk-booking-manager))</t>
  </si>
  <si>
    <t xml:space="preserve">Indirect: REST API for agencies (API (http://balancer1.mmksystems.com/en/products/rest-api.html)); agencies hire third parties to build on it (Goigo (https://www.goigo.agency/en/web-applications/laravel-cms-system-for-charter-agencies-nausys-booking-manager-mmk)); fiscalization support page 403</t>
  </si>
  <si>
    <t xml:space="preserve">Croatian charter fleets now exchange eRačuns, and your agencies pay outside developers to connect to Booking Manager. Embedded white-label connectors would let MMK own both sides.</t>
  </si>
  <si>
    <t xml:space="preserve">Pain evidence indirect</t>
  </si>
  <si>
    <t xml:space="preserve">Marko Gnjidić (Founder and CEO)</t>
  </si>
  <si>
    <t xml:space="preserve">NauSYS (Stratus IT)</t>
  </si>
  <si>
    <t xml:space="preserve">nausys.com</t>
  </si>
  <si>
    <t xml:space="preserve">Travel (yacht-charter distribution)</t>
  </si>
  <si>
    <t xml:space="preserve">Real-time charter booking network: about 900 fleets ↔ 5,000 agencies</t>
  </si>
  <si>
    <t xml:space="preserve">Private (Crunchbase (https://www.crunchbase.com/organization/nausys))</t>
  </si>
  <si>
    <t xml:space="preserve">11–50 (CB Insights (https://www.cbinsights.com/company/nausys))</t>
  </si>
  <si>
    <t xml:space="preserve">Indirect: API or iFrame only; third parties build the apps and CMSs (iBS (https://www.ibs.gr/en/yachts-booking-application-connected-to-nausys/), Goigo (https://www.goigo.agency/en/blog/yacht-charter-api-solutions))</t>
  </si>
  <si>
    <t xml:space="preserve">Fleets and agencies pay outside developers to connect NauSYS to their ERPs and websites. We'd let you offer those connections natively, under your brand.</t>
  </si>
  <si>
    <t xml:space="preserve">Goran Pavešić (CEO and co-founder); Luka Surija (CTO)</t>
  </si>
  <si>
    <t xml:space="preserve">Bitreport</t>
  </si>
  <si>
    <t xml:space="preserve">getbitreport.com</t>
  </si>
  <si>
    <t xml:space="preserve">Retail (chain-store ops)</t>
  </si>
  <si>
    <t xml:space="preserve">Task, audit and checklist platform for chains (Domino's, Levi's, Under Armour)</t>
  </si>
  <si>
    <t xml:space="preserve">€300k, Purple Ventures, Nov 2024 (Tech.eu (https://tech.eu/2024/11/19/croatian-saas-startup-bitreport-raises-eur300000-for-chain-store-management/))</t>
  </si>
  <si>
    <t xml:space="preserve">Its own guide says it "does not replace your POS, inventory ledger, ERP" and tells buyers to confirm data exchange with those vendors (blog (https://getbitreport.com/blog/retail-store-management-software/)); no integrations listed</t>
  </si>
  <si>
    <t xml:space="preserve">Your own buying guide tells chains to sort out POS and ERP data exchange themselves. Embedded connectors would let Bitreport pull sales and staffing data into audits on day one.</t>
  </si>
  <si>
    <t xml:space="preserve">Domagoj Rade (CTO and co-founder); Marko Čačić (CEO and co-founder)</t>
  </si>
  <si>
    <t xml:space="preserve">Ascalia</t>
  </si>
  <si>
    <t xml:space="preserve">ascalia.io</t>
  </si>
  <si>
    <t xml:space="preserve">Manufacturing (Industry 4.0 / MES)</t>
  </si>
  <si>
    <t xml:space="preserve">Edge-AI MES: traceability, predictive maintenance, quality</t>
  </si>
  <si>
    <t xml:space="preserve">Bootstrapped about $1.6M revenue (Latka (https://getlatka.com/companies/ascalia)) or about $1.05M raised from grants and Fil Rouge (PitchBook (https://pitchbook.com/profiles/company/442252-54))</t>
  </si>
  <si>
    <t xml:space="preserve">19–30 (EIT Hub (https://eitmanufacturinghub.hr/profil-kompanije-ascalia/))</t>
  </si>
  <si>
    <t xml:space="preserve">ERP integration is a module built to each customer's needs (EIT Hub (https://eitmanufacturinghub.hr/profil-kompanije-ascalia/))</t>
  </si>
  <si>
    <t xml:space="preserve">2/2/2/1/0</t>
  </si>
  <si>
    <t xml:space="preserve">Each Ascalia factory roll-out includes a custom ERP integration. A white-label connector layer would make SAP, Pantheon and Business Central hookups configuration rather than project work.</t>
  </si>
  <si>
    <t xml:space="preserve">Pain evidence from a search summary; UK HQ</t>
  </si>
  <si>
    <t xml:space="preserve">Productive</t>
  </si>
  <si>
    <t xml:space="preserve">productive.io</t>
  </si>
  <si>
    <t xml:space="preserve">Horizontal B2B, HR and fin-ops SaaS</t>
  </si>
  <si>
    <t xml:space="preserve">Agency PSA</t>
  </si>
  <si>
    <t xml:space="preserve">All-in-one agency management: sales, budgeting, resourcing, PM, billing</t>
  </si>
  <si>
    <t xml:space="preserve">Self-funded, profitable (about (https://productive.io/about-us/)); about $6.8M ARR (Latka (https://getlatka.com/companies/productive))</t>
  </si>
  <si>
    <t xml:space="preserve">100+ (LinkedIn (https://www.linkedin.com/company/productive-io))</t>
  </si>
  <si>
    <t xml:space="preserve">About 27 hand-built connectors (8 accounting, 9+ HRIS), with Zapier for the long tail (integrations (https://productive.io/integrations/)); G2: "lack of integrations" (G2 (https://www.g2.com/products/productive/reviews?page=4))</t>
  </si>
  <si>
    <t xml:space="preserve">You've built Fortnox, Twinfield, Exact and nine HRIS connectors one by one and still send the rest to Zapier. ByteChef lets your agencies connect the next 50 accounting and HR tools natively, under the Productive brand.</t>
  </si>
  <si>
    <t xml:space="preserve">Tomislav Car (Founder and CEO); Ivan Lučin (VP Engineering)</t>
  </si>
  <si>
    <t xml:space="preserve">Farseer</t>
  </si>
  <si>
    <t xml:space="preserve">farseer.com</t>
  </si>
  <si>
    <t xml:space="preserve">FP&amp;A</t>
  </si>
  <si>
    <t xml:space="preserve">AI planning, forecasting and reporting on top of ERPs</t>
  </si>
  <si>
    <t xml:space="preserve">Series A $7.2M, AYMO Ventures (SeeNews (https://seenews.com/news/croatias-farseer-raises-7-2-mln-in-series-a-funding-1289803))</t>
  </si>
  <si>
    <t xml:space="preserve">about 79–87 (Tracxn (https://tracxn.com/d/companies/farseer/__x0lLhMMLZoeUP0mFYa1er93Dhaiusvq0ljFsbpA69qg))</t>
  </si>
  <si>
    <t xml:space="preserve">Pre-built SAP, Oracle, NetSuite, Workday and Salesforce connectors, plus a "custom connector framework" (integrations (https://www.farseer.com/platform/integrations/)); Series A money partly goes to implementation specialists (Netokracija (https://www.netokracija.com/farseer-investicija-serija-a-zaposljavanje-matija-nakic-241639))</t>
  </si>
  <si>
    <t xml:space="preserve">Your Series A is paying for implementation specialists to wire Farseer into each customer's ERP. An embeddable, open-source connector engine would turn that into self-serve setup as you push into the US.</t>
  </si>
  <si>
    <t xml:space="preserve">Luka Mijatović (Co-founder and CTO); Matija Nakić (Co-founder and CEO)</t>
  </si>
  <si>
    <t xml:space="preserve">TalentLyft</t>
  </si>
  <si>
    <t xml:space="preserve">talentlyft.com</t>
  </si>
  <si>
    <t xml:space="preserve">HR tech (ATS)</t>
  </si>
  <si>
    <t xml:space="preserve">Recruitment marketing, ATS and talent CRM for SMBs</t>
  </si>
  <si>
    <t xml:space="preserve">Mostly bootstrapped; $300K seed in 2017 (Netokracija (https://www.netokracija.com/talentlyft-saas-bootstraped-161428))</t>
  </si>
  <si>
    <t xml:space="preserve">11–50 (StartupBlink (https://www.startupblink.com/top-startups/croatia/software-data))</t>
  </si>
  <si>
    <t xml:space="preserve">About 9 third-party integrations, no Zapier (integrations (https://www.talentlyft.com/integrations), Software Advice (https://www.softwareadvice.com/hr/talentlyft-profile/)); customers reach it through Merge (Merge (https://www.merge.dev/integrations/talentlyft))</t>
  </si>
  <si>
    <t xml:space="preserve">Your customers already reach TalentLyft through Merge and Unified. Embedding the HRIS and payroll hand-offs in your own product keeps that relationship, and the margin, with you.</t>
  </si>
  <si>
    <t xml:space="preserve">Nikola Biondić (Co-founder and CTO (headline now reads "Hidden Talent"; check)); Mario Buntić (Co-founder and CEO)</t>
  </si>
  <si>
    <t xml:space="preserve">Oradian</t>
  </si>
  <si>
    <t xml:space="preserve">oradian.com</t>
  </si>
  <si>
    <t xml:space="preserve">Fintech infra (core banking)</t>
  </si>
  <si>
    <t xml:space="preserve">Cloud core banking (Instafin) for lenders and MFIs in emerging markets</t>
  </si>
  <si>
    <t xml:space="preserve">VC-backed (Fil Rouge, SBI and others); totals inconsistent (Tracxn (https://tracxn.com/d/companies/oradian/__Ho3hLUqK6LAslKsLh7pfq2NeIlpZJNTwHDmwS2fyC7Y))</t>
  </si>
  <si>
    <t xml:space="preserve">66–67 (Tracxn (https://tracxn.com/d/companies/oradian/__Ho3hLUqK6LAslKsLh7pfq2NeIlpZJNTwHDmwS2fyC7Y))</t>
  </si>
  <si>
    <t xml:space="preserve">Builds custom connectors with each lender for KYC, payments, fraud and wallets (APIs &amp; Integrations (https://oradian.com/apis-integrations)); hiring a CTO (job (https://app.screenloop.com/careers/oradian/job_posts/8265?tab=overview))</t>
  </si>
  <si>
    <t xml:space="preserve">2/2/3/1/1</t>
  </si>
  <si>
    <t xml:space="preserve">You co-build a custom connector with each lender for KYC, payments and fraud. A white-label integration layer would let partners self-connect, and it would be a quick win for your incoming CTO.</t>
  </si>
  <si>
    <t xml:space="preserve">Rikard Pavelić (CTO (a CTO search is open)); Antonio Separović (CEO and co-founder)</t>
  </si>
  <si>
    <t xml:space="preserve">OptimoRoute</t>
  </si>
  <si>
    <t xml:space="preserve">optimoroute.com</t>
  </si>
  <si>
    <t xml:space="preserve">US (Palo Alto)</t>
  </si>
  <si>
    <t xml:space="preserve">Route and field scheduling</t>
  </si>
  <si>
    <t xml:space="preserve">Route optimization and scheduling for delivery and field-service teams</t>
  </si>
  <si>
    <t xml:space="preserve">Series A $6.5M (Latka (https://getlatka.com/companies/optimoroute))</t>
  </si>
  <si>
    <t xml:space="preserve">about 59 (Tracxn (https://tracxn.com/d/companies/optimoroute/__Ke8oEXQvD2AzJQD6E8B59E6OKx9ZPVJBklTBz9fZwX0))</t>
  </si>
  <si>
    <t xml:space="preserve">Customers build their own SAP, Dynamics, NetSuite and Shopify feeds via the Web Service API, supported by an implementation-engineering team (API page (https://optimoroute.com/web-service-api/)); /integrations 404</t>
  </si>
  <si>
    <t xml:space="preserve">2/2/3/1/0</t>
  </si>
  <si>
    <t xml:space="preserve">Your implementation engineers walk every customer through building their own SAP or NetSuite feed. Pre-built, white-label order and ERP connectors would remove that step from onboarding.</t>
  </si>
  <si>
    <t xml:space="preserve">US HQ; /integrations page 404</t>
  </si>
  <si>
    <t xml:space="preserve">Frane Šarić (Co-founder and CTO); Goran Kukolj (Co-founder)</t>
  </si>
  <si>
    <t xml:space="preserve">Hypefy</t>
  </si>
  <si>
    <t xml:space="preserve">hypefy.ai</t>
  </si>
  <si>
    <t xml:space="preserve">Martech (influencer)</t>
  </si>
  <si>
    <t xml:space="preserve">AI influencer marketing: discovery, campaigns, payments, reporting</t>
  </si>
  <si>
    <t xml:space="preserve">Series A $7.2M, AYMO, 2026 (FinSMEs (https://www.finsmes.com/2026/07/hypefy-ai-raises-7-2m-in-series-a-funding.html))</t>
  </si>
  <si>
    <t xml:space="preserve">49, growing to about 100 (Tracxn (https://tracxn.com/d/companies/hypefy/__NsEzjMCfMYWwtvR708uI5R2aKIipUlXuPpmICKg_pUQ))</t>
  </si>
  <si>
    <t xml:space="preserve">Indirect: native integrations limited to Instagram and TikTok (Capterra (https://www.capterra.com/p/10027168/Hypefy/)) while it sells to D2C brands on Shopify and CRM stacks</t>
  </si>
  <si>
    <t xml:space="preserve">You sell ROI to D2C brands but connect only to Instagram and TikTok. Embedded Shopify, CRM and attribution connectors would let you prove revenue per creator before the US push.</t>
  </si>
  <si>
    <t xml:space="preserve">Stjepan Zelić (Co-founder and CEO); Filip Špiranec / Davor Šibenik (CTO (sources disagree on which))</t>
  </si>
  <si>
    <t xml:space="preserve">Determ</t>
  </si>
  <si>
    <t xml:space="preserve">determ.com</t>
  </si>
  <si>
    <t xml:space="preserve">Martech (media monitoring)</t>
  </si>
  <si>
    <t xml:space="preserve">Media monitoring, social listening and data API (formerly Mediatoolkit)</t>
  </si>
  <si>
    <t xml:space="preserve">Unknown; Bornfight an investor (CB Insights (https://www.cbinsights.com/company/mediatoolkit))</t>
  </si>
  <si>
    <t xml:space="preserve">11–50 (Crunchbase (https://www.crunchbase.com/organization/mediatoolkit))</t>
  </si>
  <si>
    <t xml:space="preserve">Integrations are Slack, Zapier, API and webhooks only (EuropeanStack (https://europeanstack.com/software/determ))</t>
  </si>
  <si>
    <t xml:space="preserve">1/2/2/2/1</t>
  </si>
  <si>
    <t xml:space="preserve">Determ alerts go to Slack and Zapier today. Embedded HubSpot, Salesforce and Zendesk connectors would turn a mention into a lead or a ticket inside your product.</t>
  </si>
  <si>
    <t xml:space="preserve">Tomislav Grubišić (Co-founder and CEO)</t>
  </si>
  <si>
    <t xml:space="preserve">Treblle</t>
  </si>
  <si>
    <t xml:space="preserve">treblle.com</t>
  </si>
  <si>
    <t xml:space="preserve">Dev tools (API observability)</t>
  </si>
  <si>
    <t xml:space="preserve">API monitoring, analytics, security and docs</t>
  </si>
  <si>
    <t xml:space="preserve">$8.4M total incl. $7M from Nauta (Techloy (https://www.techloy.com/croatian-treblle-raises-7-million/))</t>
  </si>
  <si>
    <t xml:space="preserve">22+ (about (https://treblle.com/about-us))</t>
  </si>
  <si>
    <t xml:space="preserve">API-gateway connectors shipped one at a time: AWS, Azure APIM, Kong, MuleSoft, WSO2, Traefik, Apigee (docs (https://docs.treblle.com/integrate-treblle/api-gateways/kong)); no evidence of alerting or ITSM connectors</t>
  </si>
  <si>
    <t xml:space="preserve">You've built gateway plugins one by one. An embedded connector layer could carry Treblle's API insights into Jira, ServiceNow and PagerDuty without a new team for each target.</t>
  </si>
  <si>
    <t xml:space="preserve">Pain evidence partial</t>
  </si>
  <si>
    <t xml:space="preserve">Vedran Cindrić (Founder and CEO)</t>
  </si>
  <si>
    <t xml:space="preserve">Legit (Data Privacy Manager)</t>
  </si>
  <si>
    <t xml:space="preserve">legit.eu</t>
  </si>
  <si>
    <t xml:space="preserve">Privacy / compliance</t>
  </si>
  <si>
    <t xml:space="preserve">Privacy automation: ROPA, data discovery, DSARs, removal orchestration</t>
  </si>
  <si>
    <t xml:space="preserve">€650K, Vesna Deeptech (Legit (https://legit.eu/news/legit-secures-investment-from-vesna-deeptech-vc-fund-to-accelerate-growth-of-data-privacy-manager-solution/))</t>
  </si>
  <si>
    <t xml:space="preserve">unknown; 200+ customers</t>
  </si>
  <si>
    <t xml:space="preserve">Indirect: sells "Data Removal Orchestration" across customer systems but publishes no named connectors (DPM (https://legit.eu/news/data-privacy-manager/))</t>
  </si>
  <si>
    <t xml:space="preserve">Removal orchestration is only as good as the systems it reaches. Open-source, embeddable connectors to CRMs, HRIS and SaaS would let DPM fulfil DSARs end to end.</t>
  </si>
  <si>
    <t xml:space="preserve">Marijan Bračić (Board president (strategy, R&amp;D, product))</t>
  </si>
  <si>
    <t xml:space="preserve">Tomsoft (Luceed ERP)</t>
  </si>
  <si>
    <t xml:space="preserve">tomsoft.hr</t>
  </si>
  <si>
    <t xml:space="preserve">Fiskalizacija 2.0: e-invoicing and SMB ERP</t>
  </si>
  <si>
    <t xml:space="preserve">SMB / mid-market ERP</t>
  </si>
  <si>
    <t xml:space="preserve">Modular Luceed ERP (24 modules) with a REST API, for retailers, distributors, hospitality</t>
  </si>
  <si>
    <t xml:space="preserve">Bootstrapped since 1994 (Fina (https://infobiz.fina.hr/tvrtka/tomsoft-d-o-o/OIB-28658131868))</t>
  </si>
  <si>
    <t xml:space="preserve">32; €2.56M revenue 2025 (Fina (https://infobiz.fina.hr/tvrtka/tomsoft-d-o-o/OIB-28658131868))</t>
  </si>
  <si>
    <t xml:space="preserve">Own docs: "almost 30 different intermediaries" exist, Luceed supports 2 (Omnizon, mer) and dropped HT EDI (docs (https://docs.tomsoft.hr/fiskalizacija-2-0/tomsoft-rjesenje-za-fiskalizaciju-2)); webshop links (Magento, Shopify) built per client by agencies (Inchoo (https://inchoo.hr/luceed-magento-integracija/)); hiring a REST-API developer (careers (https://www.tomsoft.hr/en/careers/))</t>
  </si>
  <si>
    <t xml:space="preserve">Your Fiskalizacija docs say there are almost 30 intermediaries and Luceed supports two. What if Luceed could offer every intermediary, plus Shopify and Magento, as native white-label connectors?</t>
  </si>
  <si>
    <t xml:space="preserve">Tomislav Ivančević (Founder and director)</t>
  </si>
  <si>
    <t xml:space="preserve">Micronic (KISERP / KIS4WIN)</t>
  </si>
  <si>
    <t xml:space="preserve">micronic.hr</t>
  </si>
  <si>
    <t xml:space="preserve">Bookkeeping and ERP suite for accounting firms and manufacturers</t>
  </si>
  <si>
    <t xml:space="preserve">Private, 7 owners (Fina (https://infobiz.fina.hr/tvrtka/micronic-d-o-o/OIB-89489773101))</t>
  </si>
  <si>
    <t xml:space="preserve">15; about €1.0M revenue (Fina (https://infobiz.fina.hr/tvrtka/micronic-d-o-o/OIB-89489773101))</t>
  </si>
  <si>
    <t xml:space="preserve">Built and announced 6 intermediary integrations one at a time: mStart, Super eRačun, ePoslovanje, monoform, ePošta, Moj eRačun (integrations (https://www.micronic.hr/oznake/integracija/))</t>
  </si>
  <si>
    <t xml:space="preserve">You've shipped six intermediary integrations for KISERP, each one its own project. An embedded integration layer could let you add the next 28 intermediaries, and your clients' webshops, as configuration instead of code.</t>
  </si>
  <si>
    <t xml:space="preserve">Igor Janjić (Management board member)</t>
  </si>
  <si>
    <t xml:space="preserve">E-RAČUNI</t>
  </si>
  <si>
    <t xml:space="preserve">e-racuni.com/hrracuni</t>
  </si>
  <si>
    <t xml:space="preserve">Slovenia (Maribor)</t>
  </si>
  <si>
    <t xml:space="preserve">Cloud invoicing / ERP and intermediary</t>
  </si>
  <si>
    <t xml:space="preserve">Cloud business software that is also a certified Croatian intermediary; about 10,000 Croatian companies</t>
  </si>
  <si>
    <t xml:space="preserve">Private, founder-owned (ebonitete (https://www.ebonitete.si/e-racuni-doo/))</t>
  </si>
  <si>
    <t xml:space="preserve">about 10 at the SI parent; HR entity €1.26M revenue (Fina (https://infobiz.fina.hr/tvrtka/x/OIB-86196084068))</t>
  </si>
  <si>
    <t xml:space="preserve">8 webshop connectors listed one by one: Magento, WooCommerce, PrestaShop, Wix, Stripe, Squarespace, OpenCart, Shopify (e-racuni.hr (https://e-racuni.com/hrracuni/))</t>
  </si>
  <si>
    <t xml:space="preserve">You maintain eight webshop connectors by hand for about 10,000 Croatian customers. An embedded white-label integration engine could add the next 50 (ERPs, banks, marketplaces) without growing the team.</t>
  </si>
  <si>
    <t xml:space="preserve">Slovenian HQ; confirm Croatian decision-maker</t>
  </si>
  <si>
    <t xml:space="preserve">David Gorišek (Founder and director)</t>
  </si>
  <si>
    <t xml:space="preserve">ViziBit (Vizibit eRačun)</t>
  </si>
  <si>
    <t xml:space="preserve">vizibit.hr/eracuni</t>
  </si>
  <si>
    <t xml:space="preserve">Intermediary, DMS and e-signature</t>
  </si>
  <si>
    <t xml:space="preserve">Paperless-office platform turned intermediary, aimed at accounting firms</t>
  </si>
  <si>
    <t xml:space="preserve">Private, founder-led (Fina (https://infobiz.fina.hr/tvrtka/x/OIB-65845322221))</t>
  </si>
  <si>
    <t xml:space="preserve">13; €1.65M revenue (Fina (https://infobiz.fina.hr/tvrtka/x/OIB-65845322221))</t>
  </si>
  <si>
    <t xml:space="preserve">"API access for external integrations" marked COMING SOON; XLSX/XML import/export today (vizibit.hr (https://vizibit.hr/eracuni/)); dedicated "ERP integration" page for software vendors (page (https://vizibit.hr/eracuni/razvojne-tvrtke/))</t>
  </si>
  <si>
    <t xml:space="preserve">Your eRačun API is still 'coming soon' and customers import XLSX/XML today. We could give Vizibit ready-made, white-label connectors into the ERPs your accounting-firm customers already run.</t>
  </si>
  <si>
    <t xml:space="preserve">Robert Vurušić (Founder and CEO)</t>
  </si>
  <si>
    <t xml:space="preserve">RIS (Faros ERP, Ensolva)</t>
  </si>
  <si>
    <t xml:space="preserve">ris.hr</t>
  </si>
  <si>
    <t xml:space="preserve">SaaS ERP and procurement / AP</t>
  </si>
  <si>
    <t xml:space="preserve">Faros, one of the first Croatian SaaS ERPs, plus Ensolva procurement with central e-invoice intake</t>
  </si>
  <si>
    <t xml:space="preserve">Private, founder-owned (Fina (https://infobiz.fina.hr/tvrtka/ris-d-o-o/OIB-77917801452))</t>
  </si>
  <si>
    <t xml:space="preserve">50; €3.27M revenue (Fina (https://infobiz.fina.hr/tvrtka/ris-d-o-o/OIB-77917801452))</t>
  </si>
  <si>
    <t xml:space="preserve">Faros has to generate e-invoice XML and integrate with intermediaries; Ensolva does "centralized eInvoice receipt" (RIS F2.0 (https://ris.hr/fiskalizacija-2-0-nova-era-digitalnog-poslovanja/))</t>
  </si>
  <si>
    <t xml:space="preserve">Ensolva pulls in supplier eInvoices from every intermediary and Faros pushes them out. An embedded integration layer could connect both to any intermediary or customer ERP without a new project each time.</t>
  </si>
  <si>
    <t xml:space="preserve">Mile Pavlić (Founder and CEO)</t>
  </si>
  <si>
    <t xml:space="preserve">Pupilla (Synesis)</t>
  </si>
  <si>
    <t xml:space="preserve">pupilla.hr</t>
  </si>
  <si>
    <t xml:space="preserve">Long-running small-business accounting program</t>
  </si>
  <si>
    <t xml:space="preserve">Private, sole founder (Fina (https://infobiz.fina.hr/tvrtka/pupilla-d-o-o/OIB-00343110335))</t>
  </si>
  <si>
    <t xml:space="preserve">9; €2.91M revenue (Fina (https://infobiz.fina.hr/tvrtka/pupilla-d-o-o/OIB-00343110335))</t>
  </si>
  <si>
    <t xml:space="preserve">Built 5 separate e-invoice channels: mojeRačun, FINA B2G, FINA B2B, ePoslovanje, Redok (Synesis eRačun (https://www.pupilla.hr/synesis/efaktura/))</t>
  </si>
  <si>
    <t xml:space="preserve">2/1/3/1/1</t>
  </si>
  <si>
    <t xml:space="preserve">Synesis already maintains five eInvoice channel integrations. We could turn that into a white-label connector catalogue covering every intermediary, so each new one is configuration, not a release.</t>
  </si>
  <si>
    <t xml:space="preserve">9 employees</t>
  </si>
  <si>
    <t xml:space="preserve">Krunoslav Lisac (Founder and director)</t>
  </si>
  <si>
    <t xml:space="preserve">Pondi (ePoslovanje)</t>
  </si>
  <si>
    <t xml:space="preserve">eposlovanje.hr</t>
  </si>
  <si>
    <t xml:space="preserve">Intermediary</t>
  </si>
  <si>
    <t xml:space="preserve">Low-cost, API-first intermediary (API v2, OpenAPI, codegen)</t>
  </si>
  <si>
    <t xml:space="preserve">Private, founder-led (Fina (https://infobiz.fina.hr/tvrtka/pondi-d-o-o/OIB-62781739468))</t>
  </si>
  <si>
    <t xml:space="preserve">5 (below band); €730k revenue, +74% (Fina (https://infobiz.fina.hr/tvrtka/pondi-d-o-o/OIB-62781739468))</t>
  </si>
  <si>
    <t xml:space="preserve">Hand-lists about 50 compatible ERPs and offers to help implement in the rest (services (https://eposlovanje.hr/usluge/))</t>
  </si>
  <si>
    <t xml:space="preserve">2/0/3/2/1</t>
  </si>
  <si>
    <t xml:space="preserve">You've hand-listed about 50 compatible ERPs and still offer to help implement the rest. An embedded integration platform could let a 5-person team ship and maintain those connectors as white-label integrations.</t>
  </si>
  <si>
    <t xml:space="preserve">5 employees, below band</t>
  </si>
  <si>
    <t xml:space="preserve">Domagoj Bikić (Founder and director)</t>
  </si>
  <si>
    <t xml:space="preserve">4th Dimension (4D Wand)</t>
  </si>
  <si>
    <t xml:space="preserve">4d.hr</t>
  </si>
  <si>
    <t xml:space="preserve">4D Wand ERP (e-invoicing since 2014), with a 4D Web webshop spin-off</t>
  </si>
  <si>
    <t xml:space="preserve">Private (Fina (https://infobiz.fina.hr/tvrtka/4th-dimension-d-o-o/OIB-20706921230))</t>
  </si>
  <si>
    <t xml:space="preserve">19; €2.12M revenue (Fina (https://infobiz.fina.hr/tvrtka/4th-dimension-d-o-o/OIB-20706921230))</t>
  </si>
  <si>
    <t xml:space="preserve">Single intermediary (Moj eRačun) (mer case (http://media.moj-eracun.hr/cms/4D-wand-TEXO.pdf)); hiring programmers (job (https://www.4d.hr/info/18))</t>
  </si>
  <si>
    <t xml:space="preserve">4D Wand relies on one intermediary and a custom 4D Web shop. We could let your customers connect any intermediary or third-party webshop from inside Wand, white-labelled, without more hires.</t>
  </si>
  <si>
    <t xml:space="preserve">Edin Čahtarević (Director)</t>
  </si>
  <si>
    <t xml:space="preserve">BillKO (Kupuj Online d.o.o.)</t>
  </si>
  <si>
    <t xml:space="preserve">billko.eu</t>
  </si>
  <si>
    <t xml:space="preserve">Invoicing / fiscalization and intermediary</t>
  </si>
  <si>
    <t xml:space="preserve">Invoicing, quotes, fiscal POS and B2C/B2B/B2G e-invoices in one system, for sole traders, SMBs, webshops, hosts, accounting firms and integrators</t>
  </si>
  <si>
    <t xml:space="preserve">Private, founder-owned; sole member Emir Dizdarević, who founded Web Studio (WSPay), sold to Asseco/Payten in 2021 (fininfo (https://www.fininfo.hr/Poduzece/Pregled/kupuj-online/Detaljno/93375), Lider (https://lidermedia.hr/poslovna-scena/hrvatska/poslovni-putopis-zasto-su-pioniri-hrvatske-e-prodaje-svoj-web-studio-prodali-assecu-141050))</t>
  </si>
  <si>
    <t xml:space="preserve">7 (below band); €292k revenue 2025, −30% (fininfo (https://www.fininfo.hr/Poduzece/Pregled/kupuj-online/Detaljno/93375))</t>
  </si>
  <si>
    <t xml:space="preserve">Registered intermediary (Porezna list (https://porezna-uprava.gov.hr/hr/popis-informacijskih-posrednika/8019)); webshop integrations shipped one at a time: a WooCommerce plugin, a Shopify webhook integration, and API docs for "any CMS" (webshop guide (https://web.billko.eu/kako-izraditi-fiskalni-racun-za-webshop-vodic-za-pocetnike/)); markets "Integrations and API" to payment gateways, POS and e-commerce, and names integrators as an audience (billko.eu (https://www.billko.eu/en/))</t>
  </si>
  <si>
    <t xml:space="preserve">2/0/2/2/1</t>
  </si>
  <si>
    <t xml:space="preserve">BillKO already ships a WooCommerce plugin and a Shopify webhook, one integration at a time. With the 2027 wave bringing every non-VAT business onto eRačun, an embedded integration layer would let you offer every webshop, POS and payment gateway your customers run as white-label connectors, without growing the team.</t>
  </si>
  <si>
    <t xml:space="preserve">7 employees, below band; revenue down 30% in 2025</t>
  </si>
  <si>
    <t xml:space="preserve">Emir Dizdarević (Founder, sole member and board member (Web Studio / WSPay founder))</t>
  </si>
  <si>
    <t xml:space="preserve">name</t>
  </si>
  <si>
    <t xml:space="preserve">role</t>
  </si>
  <si>
    <t xml:space="preserve">title_check</t>
  </si>
  <si>
    <t xml:space="preserve">linkedin</t>
  </si>
  <si>
    <t xml:space="preserve">confidence</t>
  </si>
  <si>
    <t xml:space="preserve">followed_on_linkedin</t>
  </si>
  <si>
    <t xml:space="preserve">note_draft</t>
  </si>
  <si>
    <t xml:space="preserve">status</t>
  </si>
  <si>
    <t xml:space="preserve">Julian Wiedenhaus</t>
  </si>
  <si>
    <t xml:space="preserve">CEO &amp; Co-founder</t>
  </si>
  <si>
    <t xml:space="preserve">https://www.linkedin.com/in/julianwiedenhaus/</t>
  </si>
  <si>
    <t xml:space="preserve">Hi Julian - noticed Plancraft's DATEV workflow still leans on CSV export/import while you scale across 11 countries. We help construction-tech platforms ship real two-way accounting &amp; supplier APIs fast. Worth a quick chat?</t>
  </si>
  <si>
    <t xml:space="preserve">Johannes Elgh</t>
  </si>
  <si>
    <t xml:space="preserve">CTO &amp; Co-founder</t>
  </si>
  <si>
    <t xml:space="preserve">https://www.linkedin.com/in/jelgh/</t>
  </si>
  <si>
    <t xml:space="preserve">Hi Johannes - saw Atlar is staffing a 9-engineer Connectivity team for bank/ERP integrations. Worth comparing notes on what an embedded open-source integration layer could take off that roadmap?</t>
  </si>
  <si>
    <t xml:space="preserve">Clément Garbay</t>
  </si>
  <si>
    <t xml:space="preserve">Co-founder &amp; CTO</t>
  </si>
  <si>
    <t xml:space="preserve">https://www.linkedin.com/in/clementgarbay/</t>
  </si>
  <si>
    <t xml:space="preserve">Hi Clément - your changelog shows accounting connectors shipping one at a time (Zoho Books, then NetSuite/Rillet). We help teams like Hyperline ship ten a quarter without burning core eng. Open to a quick chat?</t>
  </si>
  <si>
    <t xml:space="preserve">Fidelma McGuirk</t>
  </si>
  <si>
    <t xml:space="preserve">Founder &amp; CEO</t>
  </si>
  <si>
    <t xml:space="preserve">https://www.linkedin.com/in/fidelmamcguirk/</t>
  </si>
  <si>
    <t xml:space="preserve">Hi Fidelma - noticed Payslip's team hand-builds every HCM-to-payroll connector (Workday PECI, SuccessFactors). We turn that workload into configuration on an embedded platform. Worth a quick chat?</t>
  </si>
  <si>
    <t xml:space="preserve">Riya Grover</t>
  </si>
  <si>
    <t xml:space="preserve">Co-founder &amp; CEO</t>
  </si>
  <si>
    <t xml:space="preserve">https://www.linkedin.com/in/riya-grover-a22a4822/</t>
  </si>
  <si>
    <t xml:space="preserve">Hi Riya - Sequence's docs route NetSuite customers to CSV exports and "talk to our team." We help billing platforms make NetSuite (and the next ten ERPs) native. Worth a quick chat?</t>
  </si>
  <si>
    <t xml:space="preserve">Chris Priebe</t>
  </si>
  <si>
    <t xml:space="preserve">https://www.linkedin.com/in/chrisagain/</t>
  </si>
  <si>
    <t xml:space="preserve">Hi Chris - reviews of Zelt flag the missing integration ecosystem and public API. An embedded iPaaS gives you both, plus fixes for things like the Nest pension sync. Worth a quick chat?</t>
  </si>
  <si>
    <t xml:space="preserve">Abdullah Al-Zandani</t>
  </si>
  <si>
    <t xml:space="preserve">CEO</t>
  </si>
  <si>
    <t xml:space="preserve">https://www.linkedin.com/in/azandani/</t>
  </si>
  <si>
    <t xml:space="preserve">Hi Abdullah - Coperniq's support docs list ~8 native integrations, with the rest routed through Zapier. We help teams ship that long tail natively and white-labeled. Worth a quick chat?</t>
  </si>
  <si>
    <t xml:space="preserve">Ethan Lieber</t>
  </si>
  <si>
    <t xml:space="preserve">https://www.linkedin.com/in/ethanlieber/</t>
  </si>
  <si>
    <t xml:space="preserve">Hi Ethan - congrats on the Series A. Saw the funds are earmarked to deepen third-party property management integrations - we help compress that roadmap from quarters to weeks. Worth a quick chat?</t>
  </si>
  <si>
    <t xml:space="preserve">Matt Spiegel</t>
  </si>
  <si>
    <t xml:space="preserve">https://www.linkedin.com/in/mattspiegelesq/</t>
  </si>
  <si>
    <t xml:space="preserve">Hi Matt - G2 reviewers praise Lawmatics' automation but repeatedly flag integrations as a weak spot. We help close that gap without staffing a connector team. Worth a quick chat?</t>
  </si>
  <si>
    <t xml:space="preserve">Hannes Lenke</t>
  </si>
  <si>
    <t xml:space="preserve">https://www.linkedin.com/in/hanneslenke/</t>
  </si>
  <si>
    <t xml:space="preserve">Hi Hannes - Checkly's alert-channel list is a fraction of Datadog's, and the community has filed integration requests for years. We help you match that catalog breadth at startup cost. Worth a quick chat?</t>
  </si>
  <si>
    <t xml:space="preserve">Maidul Islam</t>
  </si>
  <si>
    <t xml:space="preserve">https://www.linkedin.com/in/maidul98/</t>
  </si>
  <si>
    <t xml:space="preserve">Hi Maidul - secret-sync bugs like the GitLab masked-sync failure have sat open since 2024 across Infisical's hand-built connectors. We maintain 190+ so yours don't rot. Worth a quick chat?</t>
  </si>
  <si>
    <t xml:space="preserve">Vamsi Kurama</t>
  </si>
  <si>
    <t xml:space="preserve">https://www.linkedin.com/in/vamsi-kurama/</t>
  </si>
  <si>
    <t xml:space="preserve">Hi Vamsi - Plane's Gitea-sync issue has 94 upvotes since 2023, with GitLab parity and Mattermost queued behind it. We can power those syncs so your engineers stay on core PM. Worth a chat?</t>
  </si>
  <si>
    <t xml:space="preserve">Etai Mizrahi</t>
  </si>
  <si>
    <t xml:space="preserve">https://www.linkedin.com/in/etai-mizrahi-07656aa1/</t>
  </si>
  <si>
    <t xml:space="preserve">Hi Etai - Secoda's docs promise Airflow, S3 and great_expectations connectors "on the roadmap" and ask users to email requests. We can help clear that whole queue. Worth a quick chat?</t>
  </si>
  <si>
    <t xml:space="preserve">Pranay Prateek</t>
  </si>
  <si>
    <t xml:space="preserve">https://www.linkedin.com/in/pranay01/</t>
  </si>
  <si>
    <t xml:space="preserve">Hi Pranay - the Discord alert-channel request your own team filed from a paying-user thread has been open since Jan 2023. We help observability platforms close gaps like this fast. Worth a chat?</t>
  </si>
  <si>
    <t xml:space="preserve">Thomas Vande Casteele</t>
  </si>
  <si>
    <t xml:space="preserve">https://www.linkedin.com/in/thomasvdc/</t>
  </si>
  <si>
    <t xml:space="preserve">Hi Thomas - noticed each EHR integration at Awell is hand-built extension by extension. We offer a self-serve connector catalog so your team stays focused on care flows. Worth a quick chat?</t>
  </si>
  <si>
    <t xml:space="preserve">Erwin Buckers</t>
  </si>
  <si>
    <t xml:space="preserve">Target: CEO</t>
  </si>
  <si>
    <t xml:space="preserve">https://www.linkedin.com/in/erwin-buckers-35699028/</t>
  </si>
  <si>
    <t xml:space="preserve">High</t>
  </si>
  <si>
    <t xml:space="preserve">Christiaan Titos Bolivar</t>
  </si>
  <si>
    <t xml:space="preserve">Lead Developer - no formal CTO title exists</t>
  </si>
  <si>
    <t xml:space="preserve">Target: CTO (closest equiv.)</t>
  </si>
  <si>
    <t xml:space="preserve">https://www.linkedin.com/in/christiaan-titos-bolivar-b17550ba/</t>
  </si>
  <si>
    <t xml:space="preserve">Medium</t>
  </si>
  <si>
    <t xml:space="preserve">Pauline Van Ostaeyen</t>
  </si>
  <si>
    <t xml:space="preserve">Co-Founder - commercial/leadership focus, no one holds literal "CEO" title</t>
  </si>
  <si>
    <t xml:space="preserve">Target: CEO (closest equiv.)</t>
  </si>
  <si>
    <t xml:space="preserve">https://be.linkedin.com/in/paulinevanostaeyen</t>
  </si>
  <si>
    <t xml:space="preserve">Low</t>
  </si>
  <si>
    <t xml:space="preserve">Michiel Valee</t>
  </si>
  <si>
    <t xml:space="preserve">Co-Founder / Tech Lead</t>
  </si>
  <si>
    <t xml:space="preserve">https://be.linkedin.com/in/michielvalee</t>
  </si>
  <si>
    <t xml:space="preserve">Nessim Djerboua</t>
  </si>
  <si>
    <t xml:space="preserve">CEO &amp; Founder</t>
  </si>
  <si>
    <t xml:space="preserve">https://www.linkedin.com/in/nessimdjerboua/</t>
  </si>
  <si>
    <t xml:space="preserve">Liviu Ignat</t>
  </si>
  <si>
    <t xml:space="preserve">CTO &amp; Co-Founder</t>
  </si>
  <si>
    <t xml:space="preserve">Target: CTO</t>
  </si>
  <si>
    <t xml:space="preserve">https://www.linkedin.com/in/liviu-ignat-76835b21/</t>
  </si>
  <si>
    <t xml:space="preserve">Samuel Moore</t>
  </si>
  <si>
    <t xml:space="preserve">Co-Founder (CEO per third-party org chart)</t>
  </si>
  <si>
    <t xml:space="preserve">https://www.linkedin.com/in/samuel-moore-370767206/</t>
  </si>
  <si>
    <t xml:space="preserve">- not confirmed -</t>
  </si>
  <si>
    <t xml:space="preserve">William Jacobs is technical co-founder but no source confirms a CTO-equivalent title</t>
  </si>
  <si>
    <t xml:space="preserve">https://uk.linkedin.com/in/william-jacobs-4233665b</t>
  </si>
  <si>
    <t xml:space="preserve">Antonis Malaxianakis</t>
  </si>
  <si>
    <t xml:space="preserve">https://gr.linkedin.com/in/antonis-malaxianakis-7b656b6b</t>
  </si>
  <si>
    <t xml:space="preserve">Spyros Lamprinidis</t>
  </si>
  <si>
    <t xml:space="preserve">Chief Technology Officer</t>
  </si>
  <si>
    <t xml:space="preserve">https://www.linkedin.com/in/spyroslambrinidis/</t>
  </si>
  <si>
    <t xml:space="preserve">Michael Kessler</t>
  </si>
  <si>
    <t xml:space="preserve">Founder &amp; CEO (Geschäftsführer)</t>
  </si>
  <si>
    <t xml:space="preserve">https://de.linkedin.com/in/michael-kessler-6201b7a0</t>
  </si>
  <si>
    <t xml:space="preserve">Constantin Schomburg</t>
  </si>
  <si>
    <t xml:space="preserve">https://www.linkedin.com/in/cschomburg/</t>
  </si>
  <si>
    <t xml:space="preserve">Julia Salasky</t>
  </si>
  <si>
    <t xml:space="preserve">https://uk.linkedin.com/in/juliasalasky</t>
  </si>
  <si>
    <t xml:space="preserve">Matt Jared</t>
  </si>
  <si>
    <t xml:space="preserve">CTO</t>
  </si>
  <si>
    <t xml:space="preserve">https://uk.linkedin.com/in/matt-jared-42013a128</t>
  </si>
  <si>
    <t xml:space="preserve">Stijn Roels</t>
  </si>
  <si>
    <t xml:space="preserve">CEO (LinkedIn shows "Co-Founder")</t>
  </si>
  <si>
    <t xml:space="preserve">https://be.linkedin.com/in/stijn-roels</t>
  </si>
  <si>
    <t xml:space="preserve">No source titles anyone CTO; Dries Van Schevensteen is Lead Engineer/Developer</t>
  </si>
  <si>
    <t xml:space="preserve">https://www.linkedin.com/in/dries-van-schevensteen-7244259b/</t>
  </si>
  <si>
    <t xml:space="preserve">Barend Raaff</t>
  </si>
  <si>
    <t xml:space="preserve">Co-Founder - no one holds explicit "CEO" title; prior CEO experience at Harver</t>
  </si>
  <si>
    <t xml:space="preserve">https://www.linkedin.com/in/barend-raaff-602979/</t>
  </si>
  <si>
    <t xml:space="preserve">Steven Kroon</t>
  </si>
  <si>
    <t xml:space="preserve">https://www.linkedin.com/in/stevenkroon/</t>
  </si>
  <si>
    <t xml:space="preserve">Nikolai Skatchkov</t>
  </si>
  <si>
    <t xml:space="preserve">CEO &amp; Co-Founder</t>
  </si>
  <si>
    <t xml:space="preserve">https://de.linkedin.com/in/skatchkov</t>
  </si>
  <si>
    <t xml:space="preserve">Roman Leicht</t>
  </si>
  <si>
    <t xml:space="preserve">https://de.linkedin.com/in/romanleicht</t>
  </si>
  <si>
    <t xml:space="preserve">Antonio Berga</t>
  </si>
  <si>
    <t xml:space="preserve">Co-CEO &amp; Founder (Carlos Serrano García-Lisón is the other Co-CEO, no LinkedIn found)</t>
  </si>
  <si>
    <t xml:space="preserve">https://es.linkedin.com/in/antonio-berga</t>
  </si>
  <si>
    <t xml:space="preserve">Tomás Gil</t>
  </si>
  <si>
    <t xml:space="preserve">https://es.linkedin.com/in/tomasgiletreros</t>
  </si>
  <si>
    <t xml:space="preserve">Dimitri Raziev</t>
  </si>
  <si>
    <t xml:space="preserve">https://www.linkedin.com/in/dimitri-raziev-7312845/</t>
  </si>
  <si>
    <t xml:space="preserve">Ron Danenberg</t>
  </si>
  <si>
    <t xml:space="preserve">CTO &amp; Founder</t>
  </si>
  <si>
    <t xml:space="preserve">https://www.linkedin.com/in/rondanenberg/</t>
  </si>
  <si>
    <t xml:space="preserve">Ben Freeman</t>
  </si>
  <si>
    <t xml:space="preserve">Co-Founder &amp; CEO</t>
  </si>
  <si>
    <t xml:space="preserve">https://www.linkedin.com/in/ben-freeman-a8542166/</t>
  </si>
  <si>
    <t xml:space="preserve">Ben Allen</t>
  </si>
  <si>
    <t xml:space="preserve">Co-Founder &amp; CTO</t>
  </si>
  <si>
    <t xml:space="preserve">https://uk.linkedin.com/in/benjaminjallen</t>
  </si>
  <si>
    <t xml:space="preserve">Jackson Fregeau</t>
  </si>
  <si>
    <t xml:space="preserve">https://ca.linkedin.com/in/jacksonfregeau</t>
  </si>
  <si>
    <t xml:space="preserve">Heather Natour</t>
  </si>
  <si>
    <t xml:space="preserve">VP of Engineering - no one holds CTO title</t>
  </si>
  <si>
    <t xml:space="preserve">https://www.linkedin.com/in/heather-natour/</t>
  </si>
  <si>
    <t xml:space="preserve">Kim Verkooij</t>
  </si>
  <si>
    <t xml:space="preserve">https://nl.linkedin.com/in/kimverkooij</t>
  </si>
  <si>
    <t xml:space="preserve">Etienne Gerts</t>
  </si>
  <si>
    <t xml:space="preserve">https://www.linkedin.com/in/etienne-gerts-91636b4/</t>
  </si>
  <si>
    <t xml:space="preserve">Niclas Lilja</t>
  </si>
  <si>
    <t xml:space="preserve">https://www.linkedin.com/in/niclas-lilja/</t>
  </si>
  <si>
    <t xml:space="preserve">Hi Niclas - saw a G2 review calling out your Salesforce integration. We help subscription platforms rebuild CRM/ERP sync once and expose every connector mid-market buyers expect. Worth a quick chat?</t>
  </si>
  <si>
    <t xml:space="preserve">Alexander Reichert</t>
  </si>
  <si>
    <t xml:space="preserve">https://www.linkedin.com/in/alexanderreichert</t>
  </si>
  <si>
    <t xml:space="preserve">Hi Alexander - your grower portals live or die by ERP, agronomy and grain-system syncs. We help teams onboard the next ag ERP without a bespoke build. Open to a quick chat?</t>
  </si>
  <si>
    <t xml:space="preserve">Eli Rosenberg</t>
  </si>
  <si>
    <t xml:space="preserve">Co-Founder &amp; CPO</t>
  </si>
  <si>
    <t xml:space="preserve">Hi Eli - following up on integration coverage for AgVend's grower portals (ERP/agronomy/grain-system syncs) - happy to share how we help teams ship these without bespoke builds.</t>
  </si>
  <si>
    <t xml:space="preserve">Jonathan Rat</t>
  </si>
  <si>
    <t xml:space="preserve">https://www.linkedin.com/in/jonathanrat</t>
  </si>
  <si>
    <t xml:space="preserve">Hi Jonathan - sensors, imaging AI and payer systems each need a bespoke connector today. We help teams ship these natively instead of one TWAIN driver at a time. Worth a chat?</t>
  </si>
  <si>
    <t xml:space="preserve">Jamie Frew</t>
  </si>
  <si>
    <t xml:space="preserve">Co-Founder</t>
  </si>
  <si>
    <t xml:space="preserve">https://www.linkedin.com/in/jamie-frew-b843618</t>
  </si>
  <si>
    <t xml:space="preserve">Hi Jamie - Capterra reviewers keep asking Carepatron for Medicare, insurance-billing and accounting integrations. We help teams ship these as embedded, white-label connectors. Open to connecting?</t>
  </si>
  <si>
    <t xml:space="preserve">Matt McClellan</t>
  </si>
  <si>
    <t xml:space="preserve">https://www.linkedin.com/in/matthew-mcclellan22</t>
  </si>
  <si>
    <t xml:space="preserve">Hi Matt - Hona's edge is deep case-management sync with Clio, Filevine and Smokeball. We help teams cover the next ten PMSs prospects ask about, fast. Worth a quick chat?</t>
  </si>
  <si>
    <t xml:space="preserve">Joshua Christensen</t>
  </si>
  <si>
    <t xml:space="preserve">https://www.linkedin.com/in/joshua-n-christensen</t>
  </si>
  <si>
    <t xml:space="preserve">Hi Joshua - curious how the team is scaling PMS integrations beyond Clio/Filevine/Smokeball. We help teams like Hona's ship the long tail of case-management syncs without the bespoke build each time.</t>
  </si>
  <si>
    <t xml:space="preserve">Jon King</t>
  </si>
  <si>
    <t xml:space="preserve">https://www.linkedin.com/in/jonathanjking</t>
  </si>
  <si>
    <t xml:space="preserve">Hi Jon - saw Milk Moovement ingests lab results via API, FTP or email. We help teams turn that legacy glue into productized, white-label integrations co-ops configure themselves. Worth a chat?</t>
  </si>
  <si>
    <t xml:space="preserve">Christopher O'Malley</t>
  </si>
  <si>
    <t xml:space="preserve">https://www.linkedin.com/in/comalley</t>
  </si>
  <si>
    <t xml:space="preserve">Hi Christopher - curious how the team is productizing lab-result ingestion (API/FTP/email) today. We help teams turn that into self-serve, white-label integrations for co-ops. Open to connecting?</t>
  </si>
  <si>
    <t xml:space="preserve">Marco Nelson</t>
  </si>
  <si>
    <t xml:space="preserve">https://www.linkedin.com/in/marco-nelson-67470530</t>
  </si>
  <si>
    <t xml:space="preserve">Hi Marco - noticed Buildium is still "coming soon" on RentCheck's integrations page. We help teams ship Buildium, Propertyware and the PM long tail in weeks, not quarters. Worth a chat?</t>
  </si>
  <si>
    <t xml:space="preserve">Matias Pan</t>
  </si>
  <si>
    <t xml:space="preserve">Head of Engineering</t>
  </si>
  <si>
    <t xml:space="preserve">https://www.linkedin.com/in/matias-pan-41729a279</t>
  </si>
  <si>
    <t xml:space="preserve">Hi Matias - curious about the roadmap for Buildium/Propertyware and the rest of the PM integration long tail at RentCheck. We help teams ship these in weeks. Open to connecting?</t>
  </si>
  <si>
    <t xml:space="preserve">Claire Wilson</t>
  </si>
  <si>
    <t xml:space="preserve">https://www.linkedin.com/in/construction-claire</t>
  </si>
  <si>
    <t xml:space="preserve">Hi Claire - saw Siteline maintains 8+ bidirectional construction ERP syncs in-house. We help teams offload that connector maintenance so engineers stay on billing workflows. Worth a chat?</t>
  </si>
  <si>
    <t xml:space="preserve">Gloria Lin</t>
  </si>
  <si>
    <t xml:space="preserve">https://www.linkedin.com/in/glo</t>
  </si>
  <si>
    <t xml:space="preserve">Hi Gloria - curious how the team is prioritizing the 8+ construction ERP syncs Siteline maintains in-house. We help offload that maintenance so engineering stays on core billing workflows.</t>
  </si>
  <si>
    <t xml:space="preserve">Lucy Turner</t>
  </si>
  <si>
    <t xml:space="preserve">https://www.linkedin.com/in/lucy-turner-nz</t>
  </si>
  <si>
    <t xml:space="preserve">Hi Lucy - VXT ships PMS integrations one announcement at a time today. We help legal-tech teams cover the PMS long tail all at once instead of one-off builds. Worth a quick chat?</t>
  </si>
  <si>
    <t xml:space="preserve">Mirko Novakovic</t>
  </si>
  <si>
    <t xml:space="preserve">https://www.linkedin.com/in/mirkonovakovic</t>
  </si>
  <si>
    <t xml:space="preserve">Hi Mirko - Dash0 has 103 ingestion integrations but alerts only reach PagerDuty and a bare Slack webhook. We help teams get Datadog-grade outbound reach in a quarter. Worth a chat?</t>
  </si>
  <si>
    <t xml:space="preserve">Ben Blackmore</t>
  </si>
  <si>
    <t xml:space="preserve">https://www.linkedin.com/in/benripkens</t>
  </si>
  <si>
    <t xml:space="preserve">Hi Ben - curious how the team's thinking about outbound integration reach beyond PagerDuty/Slack for Dash0 alerts. We help teams get there in about a quarter. Open to connecting?</t>
  </si>
  <si>
    <t xml:space="preserve">Johannes Dancker</t>
  </si>
  <si>
    <t xml:space="preserve">Founder &amp; CEO (tentative)</t>
  </si>
  <si>
    <t xml:space="preserve">https://www.linkedin.com/in/johannes-dancker</t>
  </si>
  <si>
    <t xml:space="preserve">Hi Johannes - saw Formbricks users file Telegram and Snowflake requests just to stop paying for Zapier. We help teams power those destinations natively inside the product. Worth a chat?</t>
  </si>
  <si>
    <t xml:space="preserve">Matti Nannt</t>
  </si>
  <si>
    <t xml:space="preserve">Founder &amp; CTO</t>
  </si>
  <si>
    <t xml:space="preserve">https://www.linkedin.com/in/matti-sh</t>
  </si>
  <si>
    <t xml:space="preserve">Hi Matti - curious how you're prioritizing the Telegram/Snowflake-type integration requests users file to avoid paying for Zapier. We help teams power these natively. Open to connecting?</t>
  </si>
  <si>
    <t xml:space="preserve">Emil Sorensen</t>
  </si>
  <si>
    <t xml:space="preserve">https://www.linkedin.com/in/sorensenemil</t>
  </si>
  <si>
    <t xml:space="preserve">Hi Emil - kapa.ai's pitch depends on 30+ doc sources plus Slack, Discord and Zendesk surfaces, and every enterprise deal adds another connector ask. We help teams solve that once. Worth a chat?</t>
  </si>
  <si>
    <t xml:space="preserve">Finn Bauer</t>
  </si>
  <si>
    <t xml:space="preserve">https://www.linkedin.com/in/finn-bauer-533bb0130</t>
  </si>
  <si>
    <t xml:space="preserve">Hi Finn - curious how the team's handling the growing connector asks (Slack/Discord/Zendesk and beyond) as enterprise deals come in. We help teams solve this once. Open to connecting?</t>
  </si>
  <si>
    <t xml:space="preserve">Hamzah Chaudhary</t>
  </si>
  <si>
    <t xml:space="preserve">https://www.linkedin.com/in/hamzahc</t>
  </si>
  <si>
    <t xml:space="preserve">Hi Hamzah - saw the StarRocks connector request on Lightdash has been open since 2023. We help teams keep funding on the core product, not connector plumbing. Worth a quick chat?</t>
  </si>
  <si>
    <t xml:space="preserve">Oliver Laslett</t>
  </si>
  <si>
    <t xml:space="preserve">https://www.linkedin.com/in/olaslett</t>
  </si>
  <si>
    <t xml:space="preserve">Hi Oliver - noticed the open StarRocks connector request on Lightdash's tracker. We help engineering teams offload connector plumbing so it doesn't compete with core roadmap. Open to connecting?</t>
  </si>
  <si>
    <t xml:space="preserve">Salma Bakouk</t>
  </si>
  <si>
    <t xml:space="preserve">https://www.linkedin.com/in/salmabakouk</t>
  </si>
  <si>
    <t xml:space="preserve">Hi Salma - data-observability deals are won on connector coverage, and Sifflet's public catalog lists around ten platforms. We help teams triple that surface without tripling the team. Worth a chat?</t>
  </si>
  <si>
    <t xml:space="preserve">Jarek Owczarek</t>
  </si>
  <si>
    <t xml:space="preserve">Founder</t>
  </si>
  <si>
    <t xml:space="preserve">https://www.linkedin.com/in/jarek-owczarek</t>
  </si>
  <si>
    <t xml:space="preserve">Hi Jarek - noticed Contractbook's integration story largely runs through Zapier today. We help teams build native, white-label CRM/ERP sync that Zapier can't match on depth or data control.</t>
  </si>
  <si>
    <t xml:space="preserve">Richard Mabey</t>
  </si>
  <si>
    <t xml:space="preserve">https://uk.linkedin.com/in/rmabey</t>
  </si>
  <si>
    <t xml:space="preserve">Hi Richard - noticed a few Juro users flagging the CRM integration as buggy and calling out that deeper connectors sit behind add-on pricing. Curious how you're thinking about making integrations a strength rather than upsell friction - would love to compare notes.</t>
  </si>
  <si>
    <t xml:space="preserve">Paolo Fois</t>
  </si>
  <si>
    <t xml:space="preserve">https://it.linkedin.com/in/paolo-fois-lexroom</t>
  </si>
  <si>
    <t xml:space="preserve">Hi Paolo - congrats on the recent raise. Every firm you sell into will ask Lexroom to plug into their PMS/DMS - curious how you're planning to deliver that connector catalog without slowing the model roadmap. Would love to compare notes.</t>
  </si>
  <si>
    <t xml:space="preserve">Jonathan Sanders</t>
  </si>
  <si>
    <t xml:space="preserve">https://uk.linkedin.com/in/jonathan-sanders</t>
  </si>
  <si>
    <t xml:space="preserve">Hi Jonathan - saw Light outsourced bank connectivity to Atlar rather than building it in-house. That buy-not-build logic seems like it'd apply just as well to the broader integration layer a NetSuite challenger needs. Would love to compare notes.</t>
  </si>
  <si>
    <t xml:space="preserve">Parker Gilbert</t>
  </si>
  <si>
    <t xml:space="preserve">https://www.linkedin.com/in/parker-gilbert-99483298/</t>
  </si>
  <si>
    <t xml:space="preserve">Hi Parker - Numeric's close automation reaching four GLs is impressive, but QuickBooks Enterprise is a named gap vs. FloQast's ERP coverage. Curious how you're prioritizing that chase without pulling AI engineers off the roadmap. Would love to compare notes.</t>
  </si>
  <si>
    <t xml:space="preserve">Andrew Bihl</t>
  </si>
  <si>
    <t xml:space="preserve">https://www.linkedin.com/in/andrewbihl/</t>
  </si>
  <si>
    <t xml:space="preserve">Hi Andrew - Numeric's close automation covering four GLs is strong, but QuickBooks Enterprise sits as a named gap vs. FloQast's ERP coverage. Curious how you're weighing that build vs. buy-not-build without diverting engineering time. Would love to compare notes.</t>
  </si>
  <si>
    <t xml:space="preserve">Romain Libeau</t>
  </si>
  <si>
    <t xml:space="preserve">https://www.linkedin.com/in/romainlibeau/</t>
  </si>
  <si>
    <t xml:space="preserve">Hi Romain - three native ERP integrations plus an open API for the rest is a smart start. As Pivot pushes into 25+ countries, curious how you're thinking about productizing that build-it-yourself tail. Would love to compare notes.</t>
  </si>
  <si>
    <t xml:space="preserve">Alexandre Louisy</t>
  </si>
  <si>
    <t xml:space="preserve">https://www.linkedin.com/in/alexlouisy</t>
  </si>
  <si>
    <t xml:space="preserve">Hi Alex - Upflow's half-dozen native ERP connectors are clearly well-loved, but complex stacks still fall back to manual syncs. Curious how you're thinking about covering that billing-tool long tail. Would love to compare notes.</t>
  </si>
  <si>
    <t xml:space="preserve">Kevin Baum</t>
  </si>
  <si>
    <t xml:space="preserve">https://www.linkedin.com/in/kevin-baum-0to1/</t>
  </si>
  <si>
    <t xml:space="preserve">Hi Kevin - AgriWebb's Marketplace promises a "growing number" of connected farm systems. Curious what it'd take to grow that 10x without building out a partner-engineering backlog. Would love to compare notes.</t>
  </si>
  <si>
    <t xml:space="preserve">Nick Darman</t>
  </si>
  <si>
    <t xml:space="preserve">https://www.linkedin.com/in/ndarman/</t>
  </si>
  <si>
    <t xml:space="preserve">Hi Nick - saw the Series B proceeds partly go toward "expanding partnerships and integrations." Curious how you're thinking about scaling past 100 connectors without scaling integrations headcount 1:1. Would love to compare notes.</t>
  </si>
  <si>
    <t xml:space="preserve">Leo Gorodinski</t>
  </si>
  <si>
    <t xml:space="preserve">⚠️ Former Co-Founder &amp; CTO (Oct 2020–Feb 2026; now Founder at Cohesive Systems)</t>
  </si>
  <si>
    <t xml:space="preserve">https://www.linkedin.com/in/levgorodinski/</t>
  </si>
  <si>
    <t xml:space="preserve">Skip the Alvys-specific note above - he left Alvys in Feb 2026. Worth confirming who the current Alvys CTO is before reaching out on this angle.</t>
  </si>
  <si>
    <t xml:space="preserve">Matt Silver</t>
  </si>
  <si>
    <t xml:space="preserve">https://www.linkedin.com/in/mattpsilver/</t>
  </si>
  <si>
    <t xml:space="preserve">Hi Matt - you're building the "integrated" cross-border marketplace. Embedded TMS and customs-broker connectors seem like the productized version of that promise. Curious how you're approaching that. Would love to compare notes.</t>
  </si>
  <si>
    <t xml:space="preserve">Rylan Hawkins</t>
  </si>
  <si>
    <t xml:space="preserve">https://www.linkedin.com/in/rylanhawkins/</t>
  </si>
  <si>
    <t xml:space="preserve">Hi Rylan - Cargado's positioning as the "integrated" cross-border marketplace stood out. Embedded TMS and customs-broker connectors feel like the natural productized layer on top. Would love to compare notes on how you're building that.</t>
  </si>
  <si>
    <t xml:space="preserve">Zeynep Young</t>
  </si>
  <si>
    <t xml:space="preserve">https://www.linkedin.com/in/zeynep-young-7b45284/</t>
  </si>
  <si>
    <t xml:space="preserve">Hi Zeynep - Otto's PIMS coverage lead is notable. Curious how you're thinking about extending that to every long-tail PIMS without hand-building each sync. Would love to compare notes.</t>
  </si>
  <si>
    <t xml:space="preserve">Alexander Luksidadi</t>
  </si>
  <si>
    <t xml:space="preserve">https://www.linkedin.com/in/luksidadi/</t>
  </si>
  <si>
    <t xml:space="preserve">Hi Alexander - Rose Rocket's Platform Partner Program asks partners to build against your SDK. Curious if you've considered flipping that model and owning the long-tail integrations in-product instead. Would love to compare notes.</t>
  </si>
  <si>
    <t xml:space="preserve">Timur Ercan</t>
  </si>
  <si>
    <t xml:space="preserve">https://www.linkedin.com/in/timurercan/</t>
  </si>
  <si>
    <t xml:space="preserve">Hi Timur - saw the n8n integration is queued in Documenso's public backlog behind core signing work. Curious about getting Zapier-class connectivity shipped without pulling focus from the roadmap. Would love to compare notes.</t>
  </si>
  <si>
    <t xml:space="preserve">Marty Kausas</t>
  </si>
  <si>
    <t xml:space="preserve">https://www.linkedin.com/in/martykausas</t>
  </si>
  <si>
    <t xml:space="preserve">Hi Marty - every Pylon deal seems to hinge on another Slack/Teams/Salesforce/Jira permutation. Curious how you're planning to handle that ahead of the post-Series-B hiring wave, before it becomes connector-maintenance headcount. Would love to compare notes.</t>
  </si>
  <si>
    <t xml:space="preserve">Advith Chelikani</t>
  </si>
  <si>
    <t xml:space="preserve">https://www.linkedin.com/in/advith/</t>
  </si>
  <si>
    <t xml:space="preserve">Hi Advith - noticed every Pylon deal hinges on another Slack/Teams/Salesforce/Jira permutation. Curious how you're thinking about that ahead of the post-Series-B hiring wave, before it turns into connector-maintenance headcount. Would love to compare notes.</t>
  </si>
  <si>
    <t xml:space="preserve">Apurv Bansal</t>
  </si>
  <si>
    <t xml:space="preserve">https://www.linkedin.com/in/bansalapurv/</t>
  </si>
  <si>
    <t xml:space="preserve">Hi Apurv - promising 200+ two-way integrations on a Series A team is a serious maintenance tax. Would love to compare notes on how you're running that catalog embedded rather than growing a dedicated team for it.</t>
  </si>
  <si>
    <t xml:space="preserve">Saurabh Agrawal</t>
  </si>
  <si>
    <t xml:space="preserve">Co-Founder &amp; CTO/CFO</t>
  </si>
  <si>
    <t xml:space="preserve">https://www.linkedin.com/in/saurabh--agrawal/</t>
  </si>
  <si>
    <t xml:space="preserve">Hi Saurabh - 200+ two-way integrations on a Series A team is a real maintenance tax. Curious how you're running that catalog embedded today - would love to compare notes.</t>
  </si>
  <si>
    <t xml:space="preserve">Brijraj Bhuptani</t>
  </si>
  <si>
    <t xml:space="preserve">https://www.linkedin.com/in/brijraj-bhuptani-a6624a</t>
  </si>
  <si>
    <t xml:space="preserve">Hi Brijraj - enterprise rehab deals bring EHR and clearinghouse integration asks along with them. Curious how SPRY is saying yes to those without pulling engineers off the core EMR. Would love to compare notes.</t>
  </si>
  <si>
    <t xml:space="preserve">Ivan Padavić</t>
  </si>
  <si>
    <t xml:space="preserve">CTO and co-founder</t>
  </si>
  <si>
    <t xml:space="preserve">Marko Mišulić</t>
  </si>
  <si>
    <t xml:space="preserve">CEO and co-founder</t>
  </si>
  <si>
    <t xml:space="preserve">Marko Elezović</t>
  </si>
  <si>
    <t xml:space="preserve">CTO / Head of Engineering (may have moved on)</t>
  </si>
  <si>
    <t xml:space="preserve">https://hr.linkedin.com/in/melezov</t>
  </si>
  <si>
    <t xml:space="preserve">Mate Kostovski</t>
  </si>
  <si>
    <t xml:space="preserve">Matija Žulj</t>
  </si>
  <si>
    <t xml:space="preserve">Founder and CEO</t>
  </si>
  <si>
    <t xml:space="preserve">https://www.linkedin.com/in/matijazulj/</t>
  </si>
  <si>
    <t xml:space="preserve">Marko Brković</t>
  </si>
  <si>
    <t xml:space="preserve">Nikola Crnković</t>
  </si>
  <si>
    <t xml:space="preserve">CPO / CRO</t>
  </si>
  <si>
    <t xml:space="preserve">Ivica Siladić</t>
  </si>
  <si>
    <t xml:space="preserve">Karlo Đuderija</t>
  </si>
  <si>
    <t xml:space="preserve">Zlatko Kovačić</t>
  </si>
  <si>
    <t xml:space="preserve">CEO and founder</t>
  </si>
  <si>
    <t xml:space="preserve">Marko Gnjidić</t>
  </si>
  <si>
    <t xml:space="preserve">Goran Pavešić</t>
  </si>
  <si>
    <t xml:space="preserve">Luka Surija</t>
  </si>
  <si>
    <t xml:space="preserve">Domagoj Rade</t>
  </si>
  <si>
    <t xml:space="preserve">https://www.linkedin.com/in/domagoj-rade-ab1485198/</t>
  </si>
  <si>
    <t xml:space="preserve">Marko Čačić</t>
  </si>
  <si>
    <t xml:space="preserve">Tomislav Car</t>
  </si>
  <si>
    <t xml:space="preserve">https://www.linkedin.com/in/tomislavcar/</t>
  </si>
  <si>
    <t xml:space="preserve">Ivan Lučin</t>
  </si>
  <si>
    <t xml:space="preserve">VP Engineering</t>
  </si>
  <si>
    <t xml:space="preserve">https://www.linkedin.com/in/ivanlucin/</t>
  </si>
  <si>
    <t xml:space="preserve">Luka Mijatović</t>
  </si>
  <si>
    <t xml:space="preserve">Co-founder and CTO</t>
  </si>
  <si>
    <t xml:space="preserve">https://www.linkedin.com/in/lukamijatovic/</t>
  </si>
  <si>
    <t xml:space="preserve">Matija Nakić</t>
  </si>
  <si>
    <t xml:space="preserve">Co-founder and CEO</t>
  </si>
  <si>
    <t xml:space="preserve">Nikola Biondić</t>
  </si>
  <si>
    <t xml:space="preserve">Co-founder and CTO (headline now reads "Hidden Talent"; check)</t>
  </si>
  <si>
    <t xml:space="preserve">https://www.linkedin.com/in/biondic/</t>
  </si>
  <si>
    <t xml:space="preserve">Mario Buntić</t>
  </si>
  <si>
    <t xml:space="preserve">Rikard Pavelić</t>
  </si>
  <si>
    <t xml:space="preserve">CTO (a CTO search is open)</t>
  </si>
  <si>
    <t xml:space="preserve">Antonio Separović</t>
  </si>
  <si>
    <t xml:space="preserve">Frane Šarić</t>
  </si>
  <si>
    <t xml:space="preserve">Goran Kukolj</t>
  </si>
  <si>
    <t xml:space="preserve">https://www.linkedin.com/in/gorankukolj/</t>
  </si>
  <si>
    <t xml:space="preserve">Stjepan Zelić</t>
  </si>
  <si>
    <t xml:space="preserve">Filip Špiranec / Davor Šibenik</t>
  </si>
  <si>
    <t xml:space="preserve">CTO (sources disagree on which)</t>
  </si>
  <si>
    <t xml:space="preserve">Tomislav Grubišić</t>
  </si>
  <si>
    <t xml:space="preserve">Vedran Cindrić</t>
  </si>
  <si>
    <t xml:space="preserve">https://www.linkedin.com/in/vedrancindric/</t>
  </si>
  <si>
    <t xml:space="preserve">Marijan Bračić</t>
  </si>
  <si>
    <t xml:space="preserve">Board president (strategy, R&amp;D, product)</t>
  </si>
  <si>
    <t xml:space="preserve">Tomislav Ivančević</t>
  </si>
  <si>
    <t xml:space="preserve">Founder and director</t>
  </si>
  <si>
    <t xml:space="preserve">https://www.linkedin.com/in/tomislav-ivancevic/</t>
  </si>
  <si>
    <t xml:space="preserve">Igor Janjić</t>
  </si>
  <si>
    <t xml:space="preserve">Management board member</t>
  </si>
  <si>
    <t xml:space="preserve">David Gorišek</t>
  </si>
  <si>
    <t xml:space="preserve">Robert Vurušić</t>
  </si>
  <si>
    <t xml:space="preserve">Mile Pavlić</t>
  </si>
  <si>
    <t xml:space="preserve">Krunoslav Lisac</t>
  </si>
  <si>
    <t xml:space="preserve">Domagoj Bikić</t>
  </si>
  <si>
    <t xml:space="preserve">Edin Čahtarević</t>
  </si>
  <si>
    <t xml:space="preserve">Director</t>
  </si>
  <si>
    <t xml:space="preserve">Emir Dizdarević</t>
  </si>
  <si>
    <t xml:space="preserve">Founder, sole member and board member (Web Studio / WSPay founder)</t>
  </si>
  <si>
    <t xml:space="preserve">HOW TO USE THIS WORKBOOK</t>
  </si>
  <si>
    <t xml:space="preserve">Targets: one row per company (101). Research columns came from the July target list (+ Croatia segment, Oct 4). Yellow columns are yours to fill in as outreach runs. Row 2 is the example row from the old tracker.</t>
  </si>
  <si>
    <t xml:space="preserve">Contacts: one row per person, joined to Targets by company name. n_contacts on Targets counts them. followed_on_linkedin = Y for the 15 contacts listed under "Followed from 15" in the old tracker.</t>
  </si>
  <si>
    <t xml:space="preserve">first_line = the shorter hook from the tracker. research_hook = the original hook from the research doc. Re-verify the underlying fact before sending either.</t>
  </si>
  <si>
    <t xml:space="preserve">Below: methodology, caveats, wave plans, low-confidence lists and exclusions from bytechef-embedded-target-list-2026-07.md (tables moved into the other tabs).</t>
  </si>
  <si>
    <t xml:space="preserve">ByteChef Embedded - Outbound Target List (first cut)</t>
  </si>
  <si>
    <t xml:space="preserve">Date: July 28, 2026 (Croatia segment added October 4, 2026) · Companies: 101 across 5 segments · Purpose: GTM strategy §7.3 - the 90-day embedded validation sprint's outreach list.</t>
  </si>
  <si>
    <t xml:space="preserve">How this list was built</t>
  </si>
  <si>
    <t xml:space="preserve">Four parallel research passes (EU vertical SaaS · US/RoW vertical SaaS · dev tools &amp; horizontal B2B · HR/fin-ops/accounting) against the §7.3 criteria: B2B SaaS, seed–Series B, ~10–200 employees, demonstrated integration pain, verticals whose customers demand integrations. Competitors (iPaaS / unified-API / workflow-automation vendors) and Series C+ / &gt;300-employee companies were excluded.</t>
  </si>
  <si>
    <t xml:space="preserve">Scoring rubric (per company, /10): Stage fit 0–2 · Size fit 0–2 · Pain evidence 0–3 · Vertical fit 0–2 · EU bonus +1 (applied to European HQs incl. UK - deduct 1 for strict EU-27).</t>
  </si>
  <si>
    <t xml:space="preserve">Global caveats - read before sending anything:</t>
  </si>
  <si>
    <t xml:space="preserve">1. Most companies' /integrations pages blocked automated fetching (403). "Thin page" judgments rest on review sites, support docs, changelogs, and search-indexed copy. Verify each company's current integrations page manually before citing it in an email.</t>
  </si>
  <si>
    <t xml:space="preserve">2. Funding/headcount figures marked with aggregator sources (Tracxn, PitchBook, Getlatka, LeadIQ) are directional. Verify stage and size on LinkedIn before sequencing - a few entries may have outgrown the band (Otto, HERO, SPRY flagged in-segment).</t>
  </si>
  <si>
    <t xml:space="preserve">3. Each segment ends with its own low-confidence list. Treat those rows as "verify first," not "send first."</t>
  </si>
  <si>
    <t xml:space="preserve">4. Every row includes a suggested first-line hook referencing its specific evidence - rewrite in your own voice; never send a hook whose underlying fact you haven't re-verified (a wrong claim about their product kills the thread).</t>
  </si>
  <si>
    <t xml:space="preserve">Score distribution and wave plan</t>
  </si>
  <si>
    <t xml:space="preserve">Counts below cover the original 73 companies. The Croatia segment (28, at the end of this file) has its own wave plan.</t>
  </si>
  <si>
    <t xml:space="preserve">10 | 6 | Wave 1</t>
  </si>
  <si>
    <t xml:space="preserve">9 | 16 | Wave 1</t>
  </si>
  <si>
    <t xml:space="preserve">8 | 25 | Wave 2</t>
  </si>
  <si>
    <t xml:space="preserve">7 | 21 | Wave 3</t>
  </si>
  <si>
    <t xml:space="preserve">6 | 5 | Wave 3 / hold</t>
  </si>
  <si>
    <t xml:space="preserve">Wave 1 (score ≥9, 22 companies - first ~2 weeks of outreach):</t>
  </si>
  <si>
    <t xml:space="preserve">Humaans | HR/fin-ops | UK | 10 | Reviewers call integration support "minimal"; users requesting Deel, two-way Lattice</t>
  </si>
  <si>
    <t xml:space="preserve">Kenjo | HR/fin-ops | Germany | 10 | Integrations rated 3.8/5; payroll depends on DATEV bridges</t>
  </si>
  <si>
    <t xml:space="preserve">Cargoson | EU vertical | Estonia | 10 | 13 people maintaining 2,000+ carrier/ERP connectors</t>
  </si>
  <si>
    <t xml:space="preserve">Vertuoza | EU vertical | Belgium | 10 | Already outsourced accounting sync to a unified API (Chift) - proven buy-not-build</t>
  </si>
  <si>
    <t xml:space="preserve">folk | Dev tools | France | 10 | 4 native integrations; everything else pushed to customers' paid Zapier plans</t>
  </si>
  <si>
    <t xml:space="preserve">Attio | Dev tools | UK | 10 | G2's most consistent complaint: ~8 native apps vs HubSpot's 1,500</t>
  </si>
  <si>
    <t xml:space="preserve">Atlar | HR/fin-ops | Sweden | 9 | Staffing a 9-engineer "Connectivity" team for bank/ERP integrations</t>
  </si>
  <si>
    <t xml:space="preserve">Payslip | HR/fin-ops | Ireland | 9 | Hand-builds every HCM-to-payroll connector as a service</t>
  </si>
  <si>
    <t xml:space="preserve">Hyperline | HR/fin-ops | France | 9 | Changelog shows core team shipping accounting connectors one at a time</t>
  </si>
  <si>
    <t xml:space="preserve">Sequence | HR/fin-ops | UK | 9 | NetSuite customers routed to CSV exports + "talk to our team"</t>
  </si>
  <si>
    <t xml:space="preserve">Zelt | HR/fin-ops | UK | 9 | Reviews flag missing integration ecosystem and public API</t>
  </si>
  <si>
    <t xml:space="preserve">Coperniq | US vertical | USA | 9 | ~8 native integrations, rest via Zapier (YC solar software)</t>
  </si>
  <si>
    <t xml:space="preserve">Latchel | US vertical | USA | 9 | Series A press explicitly earmarks funds for PM integrations</t>
  </si>
  <si>
    <t xml:space="preserve">Lawmatics | US vertical | USA | 9 | G2 names integrations a core weakness; Zapier as workaround</t>
  </si>
  <si>
    <t xml:space="preserve">Doctorly | EU vertical | Germany | 9 | Positions "an integration platform for health" as part of its own product</t>
  </si>
  <si>
    <t xml:space="preserve">Nelly | EU vertical | Germany | 9 | Built "Nelly Connector" to bridge every German PVS by hand</t>
  </si>
  <si>
    <t xml:space="preserve">Payaca | EU vertical | UK | 9 | 4 native connectors, Zapier for the rest</t>
  </si>
  <si>
    <t xml:space="preserve">Plancraft | EU vertical | Germany | 9 | DATEV via CSV export/import while scaling to 11 countries</t>
  </si>
  <si>
    <t xml:space="preserve">Chatwoot | Dev tools | USA | 9 | Discord/Teams/HubSpot integration issues open 4–5 years (OSS affinity)</t>
  </si>
  <si>
    <t xml:space="preserve">Cal.com | Dev tools | USA | 9 | 43 open integration requests; users call Zapier workaround "cumbersome" (OSS)</t>
  </si>
  <si>
    <t xml:space="preserve">ilert | Dev tools | Germany | 9 | 13-person bootstrapped team hand-shipping integrations monthly</t>
  </si>
  <si>
    <t xml:space="preserve">Twenty | Dev tools | France | 9 | Users: missing PostHog connector "blocks leaving HubSpot" (OSS)</t>
  </si>
  <si>
    <t xml:space="preserve">Founder split suggestion: one founder takes Dev tools + HR/fin-ops (the open-source-affinity pitch and the unit-economics pitch), the other takes EU + US vertical SaaS (the "your customers' ERP/PMS long tail" pitch) - the two argument styles are different enough that owning one each keeps the voice sharp. Swap if personal affinity says otherwise.</t>
  </si>
  <si>
    <t xml:space="preserve">A note on the open-source cluster (Chatwoot, Cal.com, Twenty, Plane, SigNoz, Infisical, Formbricks, Lightdash, Documenso): highest message-fit - "open-source to open-source" lands, and their integration backlogs are public on GitHub. But they're also builders who may prefer building; expect the objection and lead with "your engineers stay on core product." Awell (EU segment) is itself a workflow platform - scope that pitch to EHR connector infrastructure only.</t>
  </si>
  <si>
    <t xml:space="preserve">Pre-send checklist per company: (1) integrations page manually opened and hook fact confirmed; (2) headcount sanity-checked on LinkedIn; (3) right person found (CTO/CPO/founder - not sales); (4) hook rewritten in your voice; (5) logged in the shared tracking sheet.</t>
  </si>
  <si>
    <t xml:space="preserve">Segment: European vertical SaaS (18 companies)</t>
  </si>
  <si>
    <t xml:space="preserve">Scoring: Stage 0–2, Size 0–2, Pain 0–3, Vertical 0–2, EU +1. Total /10.</t>
  </si>
  <si>
    <t xml:space="preserve">Method note: several /integrations pages 403'd; evidence from search-indexed pages and third-party sources, flagged per row.</t>
  </si>
  <si>
    <t xml:space="preserve">Low-confidence entries</t>
  </si>
  <si>
    <t xml:space="preserve">- Lexroom.ai (weak-authority pain source; fresh big Series B), Harbor Lab (generic ERP claim only), Rentio (stale seed; size unknown), Payaca/FreightSuite (sizes unverified; Payaca round stale), Awell (conceptual overlap - scope the pitch), HERO (possibly ~230 emp).</t>
  </si>
  <si>
    <t xml:space="preserve">- Excluded after research: Semble (Series C), Amberlo (acquired), Smovin (acquired), Alobees (merged), Spaceflow (acquired).</t>
  </si>
  <si>
    <t xml:space="preserve">Segment: US / rest-of-world vertical SaaS (17 companies)</t>
  </si>
  <si>
    <t xml:space="preserve">Scoring: Stage fit 0–2 · Size fit 0–2 · Pain evidence 0–3 · Vertical fit 0–2 · EU +1 (0 for all rows here). Total /10.</t>
  </si>
  <si>
    <t xml:space="preserve">Method note: several /integrations pages 403'd automated fetches - where marked, evidence comes from search-indexed copy, support docs, press, or reviews. Excluded: FieldPulse (Series C), Zuper (292 emp), Cargofy (EU HQ).</t>
  </si>
  <si>
    <t xml:space="preserve">- SPRY (weakest - inferred pain only), Cargado (inferred; very young), RentCheck (signal from search snippets; may be too small to buy), Rose Rocket / AgriWebb / Alvys (mature partner programs - "scale the long tail" pitch), AgVend (round label via Tracxn only), Otto (may exceed 200 emp - verify).</t>
  </si>
  <si>
    <t xml:space="preserve">- Most /integrations pages 403'd; thin-page judgments rest on support-doc and search-index evidence.</t>
  </si>
  <si>
    <t xml:space="preserve">Segment: Dev tools &amp; horizontal B2B SaaS (18 companies)</t>
  </si>
  <si>
    <t xml:space="preserve">Scoring: Stage /2 + Size /2 + Pain /3 + Vertical /2 + EU +1 = Total /10. EU bonus applied to European HQs incl. UK (noted).</t>
  </si>
  <si>
    <t xml:space="preserve">Bonus signal: open-source companies (Chatwoot, Cal.com, Twenty, Plane, SigNoz, Infisical, Formbricks, Lightdash, Documenso) - the "open-source to open-source" pitch applies.</t>
  </si>
  <si>
    <t xml:space="preserve">- Pylon (no direct pain artifact), Dash0 (EU status ambiguous; inferred pain), kapa.ai (inferred), folk (funding via aggregators), Documenso (may be under 10 people), Twenty/Plane/Lightdash/Sifflet (headcounts unknown).</t>
  </si>
  <si>
    <t xml:space="preserve">- 403 verification gaps: attio.com/apps, checklyhq feedback/integrations.</t>
  </si>
  <si>
    <t xml:space="preserve">- Excluded: Aikido (242 emp), Unleash (likely 200+), Tidio (weak fit), Featurebase (3 people), Highlight.io/Hyperdx/Metaplane/June (acquired/shut down), all iPaaS/unified-API/workflow vendors.</t>
  </si>
  <si>
    <t xml:space="preserve">Segment: HR tech, fin-ops &amp; accounting/revenue SaaS (20 companies)</t>
  </si>
  <si>
    <t xml:space="preserve">Method notes: All funding/size/pain claims carry a source URL or are marked "unknown". Company /integrations pages returned HTTP 403 through the research proxy (bot protection), so pain evidence relies on review sites, careers pages, docs/changelogs, and press. EU bonus: applied to European HQs including the UK (deduct 1 from UK rows for strict-EU scoring).</t>
  </si>
  <si>
    <t xml:space="preserve">Scoring: Stage fit 0–2 (seed/Series A = 2, recent Series B = 1) · Size fit 0–2 (sourced 10–200 = 2, unknown-but-stage-consistent = 1) · Pain evidence 0–3 · Vertical fit 0–2 · EU +1. Total /10.</t>
  </si>
  <si>
    <t xml:space="preserve">- Zenskar, Circula, Pivot, Upflow, Light - weakest pain evidence: integrations marketed as strength or pain inferred rather than complaint-demonstrated.</t>
  </si>
  <si>
    <t xml:space="preserve">- Younium - funding picture murky; treat stage as "small Series A / venture-lite".</t>
  </si>
  <si>
    <t xml:space="preserve">- Size unknowns - Zelt, Atlar, Payslip, Hyperline, Sequence, Solvimon, Carv, Quandri, Kolleno, Upflow, Zenskar, Light, Embat scored Size 1 (stage-consistent estimate).</t>
  </si>
  <si>
    <t xml:space="preserve">- All /integrations pages returned 403 via proxy; connector counts from docs/reviews/snippets.</t>
  </si>
  <si>
    <t xml:space="preserve">- Omnea, Embat - closest to exclusion boundary (size/stage); retained for first-hand hiring evidence.</t>
  </si>
  <si>
    <t xml:space="preserve">- EU bonus on UK rows (Humaans, Zelt, Sequence, Omnea, Kolleno) - deduct 1 for strict EU-27.</t>
  </si>
  <si>
    <t xml:space="preserve">Excluded as competitors: Merge, Finch, Kombo, Apideck, Chift. Excluded over-stage: Payhawk, Moss, Pleo, Personio, Factorial, Ashby, Karbon, Zip.</t>
  </si>
  <si>
    <t xml:space="preserve">Segment: Croatia (28 companies)</t>
  </si>
  <si>
    <t xml:space="preserve">Added: October 4, 2026, from three parallel research passes: Croatian vertical SaaS · Croatian horizontal B2B, HR and fin-ops SaaS · the Fiskalizacija 2.0 e-invoicing and SMB-ERP market. Selection criteria and exclusions are the same as the rest of the list. Scoring uses the same rubric: Stage 0–2, Size 0–2, Pain 0–3, Vertical 0–2, EU +1. Croatia is in the EU-27, so a Croatian HQ earns the +1 without the UK caveat. OptimoRoute (US HQ) and Ascalia (UK HQ) do not get it.</t>
  </si>
  <si>
    <t xml:space="preserve">Why Croatia is its own segment: a home-market, same-language channel; warm-intro density (Infinum, Fil Rouge, SCV, AYMO portfolios); and a regulatory deadline that creates integration pain on a date:</t>
  </si>
  <si>
    <t xml:space="preserve">Fiskalizacija 2.0. Since 1 January 2026, every Croatian VAT-registered business must issue and receive e-invoices through an information intermediary chosen in FiskAplikacija (Porezna leaflet (https://porezna-uprava.gov.hr/hr/fiskalizacija-2-0-letak/8083)). From 1 January 2027 the obligation extends to businesses outside the VAT system, including paušalisti (Parra (https://www.parra.hr/eracuni-poduzetnici-izvan-pdv-sustava-2027/), Arges (https://arges.hr/blog/eracuni-2027-izvan-pdv-a/)), so Q4 2026 is the deadline window for every invoicing and accounting vendor serving micro-businesses. The official register already lists 34 certified intermediaries, each with its own API (Porezna list (https://porezna-uprava.gov.hr/hr/popis-informacijskih-posrednika/8019)). In a February 2026 Competition Agency decision, mer states that each ERP↔intermediary integration takes 3–6 months, and ERPs therefore integrate only a few intermediaries (AZTN decision (https://www.aztn.hr/ea/wp-content/uploads/2026/04/UPI-034-032025-03021.pdf)). That is the pitch in one line: a deadline, 34 APIs, and months per hand-built connector.</t>
  </si>
  <si>
    <t xml:space="preserve">Croatia wave plan: Wave 1 (score ≥9) is 14 companies: Rentlio, Tomsoft/Luceed, Productive, Farseer, Lemax, AGRIVI, Nokumo, Mireo, DotYourSpot, Micronic, E-RAČUNI, ViziBit, TalentLyft, Oradian. The Fiskalizacija sub-segment should go first regardless of score, because the 2027 wave makes Q4 2026 the moment.</t>
  </si>
  <si>
    <t xml:space="preserve">Caveats specific to this segment:</t>
  </si>
  <si>
    <t xml:space="preserve">1. Many headcounts come from Fina InfoBiz annual filings (2025). These are more reliable than the aggregator estimates used elsewhere in this list, but they lag by a year.</t>
  </si>
  <si>
    <t xml:space="preserve">2. Several Fiskalizacija vendors are long-running, founder-owned private SMBs rather than venture-backed startups. "Stage fit" was scored as bootstrapped/private = 2. Expect a director-level buyer and a slower, relationship-led sale.</t>
  </si>
  <si>
    <t xml:space="preserve">3. Pitch in Croatian. Swap "Zapier" for "Make" or "CSV export" where that is the local reality.</t>
  </si>
  <si>
    <t xml:space="preserve">Vertical SaaS (10)</t>
  </si>
  <si>
    <t xml:space="preserve">Horizontal B2B, HR and fin-ops SaaS (9)</t>
  </si>
  <si>
    <t xml:space="preserve">Fiskalizacija 2.0: e-invoicing and SMB ERP (9)</t>
  </si>
  <si>
    <t xml:space="preserve">Suggested contacts</t>
  </si>
  <si>
    <t xml:space="preserve">LinkedIn URLs only where a search result surfaced them. Verify every name and role on LinkedIn before sending. Several were flagged as possibly stale.</t>
  </si>
  <si>
    <t xml:space="preserve">- Sizes and HQ: BillKO (7 employees and revenue down 30% in 2025; added on request because of the founder's track record and the 2027 non-VAT wave), Nokumo (about 9 named people; conflicting headcount and founding year), Pondi (5 employees, below the band, kept for the strongest pain evidence in the segment), Pupilla (9), E-RAČUNI (Slovenian HQ, with a Croatian entity and customer base; the horizontal pass excluded it on HQ, the e-invoicing pass kept it).</t>
  </si>
  <si>
    <t xml:space="preserve">- Indirect pain evidence: MMK Systems, NauSYS, Ascalia, Hypefy, Legit, Treblle, RIS. Mostly third-party or search-summary evidence.</t>
  </si>
  <si>
    <t xml:space="preserve">- Worth a look but not scored: Phobs (Dubrovnik channel manager; Sandberg/ARX took a majority stake in May 2025, so stage fit is poor, about 6); OptimIT/EDInet (24 employees; possibly partly a services shop, about 8); MyRent (built 3 intermediary connectors one by one, but about 9 staff or fewer); EasyBusy (clinic software with CEZIH and e-invoicing, size unknown); FIRA and Solo/monoform (micro, but relevant as 2027-wave partners); Memgraph (open-source affinity, but little business-app integration demand, about 5).</t>
  </si>
  <si>
    <t xml:space="preserve">- Fetch failures: the Booking Manager support page, Seedtable and EU-Startups returned 403; OptimoRoute /integrations returned 404; Treblle's docs integrations page returned 500.</t>
  </si>
  <si>
    <t xml:space="preserve">Excluded after research</t>
  </si>
  <si>
    <t xml:space="preserve">- Acquired or owned by large groups: Repsly (Cuadrilla Capital 2025), Mobilisis (SICK AG), Remaris and Monri (Payten), mer / moj-eRačun (Visma), Amodo (Cambridge Mobile Telematics), SysKit (Redgate), Minimax HR (Seyfor), Datalab HR / Pantheon (listed Datalab group), Neoinfo / Adeo POS (Printec), PostLink / Sveračun (Hrvatska pošta), Omnizon (Megatrend Redok).</t>
  </si>
  <si>
    <t xml:space="preserve">- Competitor or adjacent: Robotiq.ai (RPA), Mindsmiths (autonomous-systems platform), Fonoa (tax-compliance API, Dublin, $60M Series B), Shoutem (no-code app builder, Brooklyn HQ).</t>
  </si>
  <si>
    <t xml:space="preserve">- Wrong shape: PlanRadar (Vienna HQ, over-stage), Sedna System (French HQ), Ingemark and Tri M (services), Codemap (talent marketplace), Sportening (consumer), Lasken AI (sold to pharma), Daytona, Wasp and rmBug (dev infra, no end-customer integration demand), All Eyes On Screens (no pain evidence), FMLC / HT fleet (resellers).</t>
  </si>
  <si>
    <t xml:space="preserve">- Too small (0–7 employees per Fina): DB informatika, Zlatni račun, HREFS, GrowIT, MAXKO, Relago, Arges ERP, Blagajna.hr, Luppa (€275K, too early).</t>
  </si>
  <si>
    <t xml:space="preserve">- No qualifying candidates found in Croatian legal, education or energy SaaS.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</si>
</sst>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10"/>
      <color rgb="FF888888"/>
      <name val="Arial"/>
      <family val="0"/>
      <charset val="1"/>
    </font>
    <font>
      <sz val="10"/>
      <name val="Arial"/>
      <family val="0"/>
      <charset val="1"/>
    </font>
    <font>
      <b val="true"/>
      <sz val="12"/>
      <name val="Arial"/>
      <family val="0"/>
      <charset val="1"/>
    </font>
    <font>
      <b val="true"/>
      <sz val="11"/>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FF9C4"/>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937"/>
          <bgColor rgb="FF000000"/>
        </patternFill>
      </fill>
    </dxf>
    <dxf>
      <fill>
        <patternFill patternType="solid">
          <bgColor rgb="FF000000"/>
        </patternFill>
      </fill>
    </dxf>
    <dxf>
      <fill>
        <patternFill patternType="solid">
          <fgColor rgb="FF888888"/>
          <bgColor rgb="FF000000"/>
        </patternFill>
      </fill>
    </dxf>
    <dxf>
      <fill>
        <patternFill patternType="solid">
          <fgColor rgb="FFFFFFFF"/>
          <bgColor rgb="FF000000"/>
        </patternFill>
      </fill>
    </dxf>
    <dxf>
      <fill>
        <patternFill patternType="solid">
          <fgColor rgb="FFFFF9C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4" min="3" style="0" width="14"/>
    <col collapsed="false" customWidth="true" hidden="false" outlineLevel="0" max="5" min="5" style="0" width="22"/>
    <col collapsed="false" customWidth="true" hidden="false" outlineLevel="0" max="6" min="6" style="0" width="20"/>
    <col collapsed="false" customWidth="true" hidden="false" outlineLevel="0" max="8" min="7" style="0" width="40"/>
    <col collapsed="false" customWidth="true" hidden="false" outlineLevel="0" max="9" min="9" style="0" width="28"/>
    <col collapsed="false" customWidth="true" hidden="false" outlineLevel="0" max="10" min="10" style="0" width="60"/>
    <col collapsed="false" customWidth="true" hidden="false" outlineLevel="0" max="11" min="11" style="0" width="12"/>
    <col collapsed="false" customWidth="true" hidden="false" outlineLevel="0" max="12" min="12" style="0" width="7"/>
    <col collapsed="false" customWidth="true" hidden="false" outlineLevel="0" max="13" min="13" style="0" width="6"/>
    <col collapsed="false" customWidth="true" hidden="false" outlineLevel="0" max="14" min="14" style="0" width="11"/>
    <col collapsed="false" customWidth="true" hidden="false" outlineLevel="0" max="16" min="15" style="0" width="60"/>
    <col collapsed="false" customWidth="true" hidden="false" outlineLevel="0" max="17" min="17" style="0" width="36"/>
    <col collapsed="false" customWidth="true" hidden="false" outlineLevel="0" max="18" min="18" style="0" width="40"/>
    <col collapsed="false" customWidth="true" hidden="false" outlineLevel="0" max="19" min="19" style="0" width="9"/>
    <col collapsed="false" customWidth="true" hidden="false" outlineLevel="0" max="20" min="20" style="0" width="24"/>
    <col collapsed="false" customWidth="true" hidden="false" outlineLevel="0" max="23" min="21" style="0" width="12"/>
    <col collapsed="false" customWidth="true" hidden="false" outlineLevel="0" max="24" min="24" style="0" width="8"/>
    <col collapsed="false" customWidth="true" hidden="false" outlineLevel="0" max="26" min="25" style="0" width="12"/>
    <col collapsed="false" customWidth="true" hidden="false" outlineLevel="0" max="27" min="27" style="0" width="20"/>
    <col collapsed="false" customWidth="true" hidden="false" outlineLevel="0" max="28" min="28" style="0" width="3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2" t="s">
        <v>28</v>
      </c>
      <c r="B2" s="2" t="s">
        <v>29</v>
      </c>
      <c r="C2" s="2" t="s">
        <v>30</v>
      </c>
      <c r="D2" s="2" t="s">
        <v>31</v>
      </c>
      <c r="E2" s="2"/>
      <c r="F2" s="2" t="s">
        <v>32</v>
      </c>
      <c r="G2" s="3"/>
      <c r="H2" s="3"/>
      <c r="I2" s="3"/>
      <c r="J2" s="3"/>
      <c r="K2" s="2"/>
      <c r="L2" s="2" t="n">
        <v>9</v>
      </c>
      <c r="M2" s="2" t="n">
        <v>1</v>
      </c>
      <c r="N2" s="2" t="s">
        <v>33</v>
      </c>
      <c r="O2" s="3" t="s">
        <v>34</v>
      </c>
      <c r="P2" s="3"/>
      <c r="Q2" s="3" t="s">
        <v>35</v>
      </c>
      <c r="R2" s="3" t="s">
        <v>36</v>
      </c>
      <c r="S2" s="2" t="n">
        <f aca="false">COUNTIF(Contacts!$A:$A,A2)</f>
        <v>0</v>
      </c>
      <c r="T2" s="2" t="s">
        <v>37</v>
      </c>
      <c r="U2" s="2" t="s">
        <v>38</v>
      </c>
      <c r="V2" s="2" t="s">
        <v>39</v>
      </c>
      <c r="W2" s="2" t="s">
        <v>40</v>
      </c>
      <c r="X2" s="2" t="s">
        <v>41</v>
      </c>
      <c r="Y2" s="2" t="s">
        <v>42</v>
      </c>
      <c r="Z2" s="2" t="s">
        <v>43</v>
      </c>
      <c r="AA2" s="2" t="s">
        <v>44</v>
      </c>
      <c r="AB2" s="3" t="s">
        <v>45</v>
      </c>
    </row>
    <row r="3" customFormat="false" ht="46.25" hidden="false" customHeight="false" outlineLevel="0" collapsed="false">
      <c r="A3" s="4" t="s">
        <v>46</v>
      </c>
      <c r="B3" s="4" t="s">
        <v>47</v>
      </c>
      <c r="C3" s="4" t="s">
        <v>48</v>
      </c>
      <c r="D3" s="4" t="s">
        <v>49</v>
      </c>
      <c r="E3" s="4"/>
      <c r="F3" s="4" t="s">
        <v>50</v>
      </c>
      <c r="G3" s="5" t="s">
        <v>51</v>
      </c>
      <c r="H3" s="5" t="s">
        <v>52</v>
      </c>
      <c r="I3" s="5" t="s">
        <v>53</v>
      </c>
      <c r="J3" s="5" t="s">
        <v>54</v>
      </c>
      <c r="K3" s="4" t="s">
        <v>55</v>
      </c>
      <c r="L3" s="4" t="n">
        <v>10</v>
      </c>
      <c r="M3" s="4" t="n">
        <v>1</v>
      </c>
      <c r="N3" s="4" t="s">
        <v>33</v>
      </c>
      <c r="O3" s="5" t="s">
        <v>56</v>
      </c>
      <c r="P3" s="5" t="s">
        <v>57</v>
      </c>
      <c r="Q3" s="5" t="s">
        <v>58</v>
      </c>
      <c r="R3" s="5"/>
      <c r="S3" s="4" t="n">
        <f aca="false">COUNTIF(Contacts!$A:$A,A3)</f>
        <v>0</v>
      </c>
      <c r="T3" s="6"/>
      <c r="U3" s="6"/>
      <c r="V3" s="6"/>
      <c r="W3" s="6"/>
      <c r="X3" s="6"/>
      <c r="Y3" s="6"/>
      <c r="Z3" s="6"/>
      <c r="AA3" s="6"/>
      <c r="AB3" s="7"/>
    </row>
    <row r="4" customFormat="false" ht="57.45" hidden="false" customHeight="false" outlineLevel="0" collapsed="false">
      <c r="A4" s="4" t="s">
        <v>59</v>
      </c>
      <c r="B4" s="4" t="s">
        <v>60</v>
      </c>
      <c r="C4" s="4" t="s">
        <v>61</v>
      </c>
      <c r="D4" s="4" t="s">
        <v>49</v>
      </c>
      <c r="E4" s="4"/>
      <c r="F4" s="4" t="s">
        <v>50</v>
      </c>
      <c r="G4" s="5" t="s">
        <v>62</v>
      </c>
      <c r="H4" s="5" t="s">
        <v>63</v>
      </c>
      <c r="I4" s="5" t="s">
        <v>64</v>
      </c>
      <c r="J4" s="5" t="s">
        <v>65</v>
      </c>
      <c r="K4" s="4" t="s">
        <v>55</v>
      </c>
      <c r="L4" s="4" t="n">
        <v>10</v>
      </c>
      <c r="M4" s="4" t="n">
        <v>1</v>
      </c>
      <c r="N4" s="4" t="s">
        <v>33</v>
      </c>
      <c r="O4" s="5" t="s">
        <v>66</v>
      </c>
      <c r="P4" s="5" t="s">
        <v>67</v>
      </c>
      <c r="Q4" s="5" t="s">
        <v>68</v>
      </c>
      <c r="R4" s="5"/>
      <c r="S4" s="4" t="n">
        <f aca="false">COUNTIF(Contacts!$A:$A,A4)</f>
        <v>0</v>
      </c>
      <c r="T4" s="6"/>
      <c r="U4" s="6"/>
      <c r="V4" s="6"/>
      <c r="W4" s="6"/>
      <c r="X4" s="6"/>
      <c r="Y4" s="6"/>
      <c r="Z4" s="6"/>
      <c r="AA4" s="6"/>
      <c r="AB4" s="7"/>
    </row>
    <row r="5" customFormat="false" ht="35.05" hidden="false" customHeight="false" outlineLevel="0" collapsed="false">
      <c r="A5" s="4" t="s">
        <v>69</v>
      </c>
      <c r="B5" s="4" t="s">
        <v>70</v>
      </c>
      <c r="C5" s="4" t="s">
        <v>71</v>
      </c>
      <c r="D5" s="4" t="s">
        <v>31</v>
      </c>
      <c r="E5" s="4"/>
      <c r="F5" s="4" t="s">
        <v>72</v>
      </c>
      <c r="G5" s="5" t="s">
        <v>73</v>
      </c>
      <c r="H5" s="5" t="s">
        <v>74</v>
      </c>
      <c r="I5" s="5" t="s">
        <v>75</v>
      </c>
      <c r="J5" s="5" t="s">
        <v>76</v>
      </c>
      <c r="K5" s="4" t="s">
        <v>55</v>
      </c>
      <c r="L5" s="4" t="n">
        <v>10</v>
      </c>
      <c r="M5" s="4" t="n">
        <v>1</v>
      </c>
      <c r="N5" s="4" t="s">
        <v>77</v>
      </c>
      <c r="O5" s="5" t="s">
        <v>78</v>
      </c>
      <c r="P5" s="5" t="s">
        <v>79</v>
      </c>
      <c r="Q5" s="5" t="s">
        <v>80</v>
      </c>
      <c r="R5" s="5"/>
      <c r="S5" s="4" t="n">
        <f aca="false">COUNTIF(Contacts!$A:$A,A5)</f>
        <v>0</v>
      </c>
      <c r="T5" s="6"/>
      <c r="U5" s="6"/>
      <c r="V5" s="6"/>
      <c r="W5" s="6"/>
      <c r="X5" s="6"/>
      <c r="Y5" s="6"/>
      <c r="Z5" s="6"/>
      <c r="AA5" s="6"/>
      <c r="AB5" s="7"/>
    </row>
    <row r="6" customFormat="false" ht="57.45" hidden="false" customHeight="false" outlineLevel="0" collapsed="false">
      <c r="A6" s="4" t="s">
        <v>81</v>
      </c>
      <c r="B6" s="4" t="s">
        <v>82</v>
      </c>
      <c r="C6" s="4" t="s">
        <v>83</v>
      </c>
      <c r="D6" s="4" t="s">
        <v>31</v>
      </c>
      <c r="E6" s="4"/>
      <c r="F6" s="4" t="s">
        <v>84</v>
      </c>
      <c r="G6" s="5" t="s">
        <v>85</v>
      </c>
      <c r="H6" s="5" t="s">
        <v>86</v>
      </c>
      <c r="I6" s="5" t="s">
        <v>87</v>
      </c>
      <c r="J6" s="5" t="s">
        <v>88</v>
      </c>
      <c r="K6" s="4" t="s">
        <v>55</v>
      </c>
      <c r="L6" s="4" t="n">
        <v>10</v>
      </c>
      <c r="M6" s="4" t="n">
        <v>1</v>
      </c>
      <c r="N6" s="4" t="s">
        <v>77</v>
      </c>
      <c r="O6" s="5" t="s">
        <v>89</v>
      </c>
      <c r="P6" s="5" t="s">
        <v>90</v>
      </c>
      <c r="Q6" s="5"/>
      <c r="R6" s="5"/>
      <c r="S6" s="4" t="n">
        <f aca="false">COUNTIF(Contacts!$A:$A,A6)</f>
        <v>0</v>
      </c>
      <c r="T6" s="6"/>
      <c r="U6" s="6"/>
      <c r="V6" s="6"/>
      <c r="W6" s="6"/>
      <c r="X6" s="6"/>
      <c r="Y6" s="6"/>
      <c r="Z6" s="6"/>
      <c r="AA6" s="6"/>
      <c r="AB6" s="7"/>
    </row>
    <row r="7" customFormat="false" ht="57.45" hidden="false" customHeight="false" outlineLevel="0" collapsed="false">
      <c r="A7" s="4" t="s">
        <v>91</v>
      </c>
      <c r="B7" s="4" t="s">
        <v>92</v>
      </c>
      <c r="C7" s="4" t="s">
        <v>48</v>
      </c>
      <c r="D7" s="4" t="s">
        <v>93</v>
      </c>
      <c r="E7" s="4"/>
      <c r="F7" s="4" t="s">
        <v>94</v>
      </c>
      <c r="G7" s="5" t="s">
        <v>95</v>
      </c>
      <c r="H7" s="5" t="s">
        <v>96</v>
      </c>
      <c r="I7" s="5" t="s">
        <v>97</v>
      </c>
      <c r="J7" s="5" t="s">
        <v>98</v>
      </c>
      <c r="K7" s="4"/>
      <c r="L7" s="4" t="n">
        <v>10</v>
      </c>
      <c r="M7" s="4" t="n">
        <v>1</v>
      </c>
      <c r="N7" s="4" t="s">
        <v>33</v>
      </c>
      <c r="O7" s="5" t="s">
        <v>99</v>
      </c>
      <c r="P7" s="5" t="s">
        <v>100</v>
      </c>
      <c r="Q7" s="5" t="s">
        <v>101</v>
      </c>
      <c r="R7" s="5"/>
      <c r="S7" s="4" t="n">
        <f aca="false">COUNTIF(Contacts!$A:$A,A7)</f>
        <v>0</v>
      </c>
      <c r="T7" s="6"/>
      <c r="U7" s="6"/>
      <c r="V7" s="6"/>
      <c r="W7" s="6"/>
      <c r="X7" s="6"/>
      <c r="Y7" s="6"/>
      <c r="Z7" s="6"/>
      <c r="AA7" s="6"/>
      <c r="AB7" s="7"/>
    </row>
    <row r="8" customFormat="false" ht="79.85" hidden="false" customHeight="false" outlineLevel="0" collapsed="false">
      <c r="A8" s="4" t="s">
        <v>102</v>
      </c>
      <c r="B8" s="4" t="s">
        <v>103</v>
      </c>
      <c r="C8" s="4" t="s">
        <v>30</v>
      </c>
      <c r="D8" s="4" t="s">
        <v>93</v>
      </c>
      <c r="E8" s="4"/>
      <c r="F8" s="4" t="s">
        <v>104</v>
      </c>
      <c r="G8" s="5" t="s">
        <v>105</v>
      </c>
      <c r="H8" s="5" t="s">
        <v>106</v>
      </c>
      <c r="I8" s="5" t="s">
        <v>107</v>
      </c>
      <c r="J8" s="5" t="s">
        <v>108</v>
      </c>
      <c r="K8" s="4"/>
      <c r="L8" s="4" t="n">
        <v>10</v>
      </c>
      <c r="M8" s="4" t="n">
        <v>1</v>
      </c>
      <c r="N8" s="4" t="s">
        <v>33</v>
      </c>
      <c r="O8" s="5" t="s">
        <v>109</v>
      </c>
      <c r="P8" s="5" t="s">
        <v>110</v>
      </c>
      <c r="Q8" s="5"/>
      <c r="R8" s="5"/>
      <c r="S8" s="4" t="n">
        <f aca="false">COUNTIF(Contacts!$A:$A,A8)</f>
        <v>0</v>
      </c>
      <c r="T8" s="6"/>
      <c r="U8" s="6"/>
      <c r="V8" s="6"/>
      <c r="W8" s="6"/>
      <c r="X8" s="6"/>
      <c r="Y8" s="6"/>
      <c r="Z8" s="6"/>
      <c r="AA8" s="6"/>
      <c r="AB8" s="7"/>
    </row>
    <row r="9" customFormat="false" ht="46.25" hidden="false" customHeight="false" outlineLevel="0" collapsed="false">
      <c r="A9" s="4" t="s">
        <v>111</v>
      </c>
      <c r="B9" s="4" t="s">
        <v>112</v>
      </c>
      <c r="C9" s="4" t="s">
        <v>113</v>
      </c>
      <c r="D9" s="4" t="s">
        <v>49</v>
      </c>
      <c r="E9" s="4"/>
      <c r="F9" s="4" t="s">
        <v>114</v>
      </c>
      <c r="G9" s="5" t="s">
        <v>115</v>
      </c>
      <c r="H9" s="5" t="s">
        <v>116</v>
      </c>
      <c r="I9" s="5" t="s">
        <v>117</v>
      </c>
      <c r="J9" s="5" t="s">
        <v>118</v>
      </c>
      <c r="K9" s="4" t="s">
        <v>119</v>
      </c>
      <c r="L9" s="4" t="n">
        <v>9</v>
      </c>
      <c r="M9" s="4" t="n">
        <v>1</v>
      </c>
      <c r="N9" s="4" t="s">
        <v>33</v>
      </c>
      <c r="O9" s="5" t="s">
        <v>120</v>
      </c>
      <c r="P9" s="5" t="s">
        <v>121</v>
      </c>
      <c r="Q9" s="5"/>
      <c r="R9" s="5"/>
      <c r="S9" s="4" t="n">
        <f aca="false">COUNTIF(Contacts!$A:$A,A9)</f>
        <v>0</v>
      </c>
      <c r="T9" s="6"/>
      <c r="U9" s="6"/>
      <c r="V9" s="6"/>
      <c r="W9" s="6"/>
      <c r="X9" s="6"/>
      <c r="Y9" s="6"/>
      <c r="Z9" s="6"/>
      <c r="AA9" s="6"/>
      <c r="AB9" s="7"/>
    </row>
    <row r="10" customFormat="false" ht="57.45" hidden="false" customHeight="false" outlineLevel="0" collapsed="false">
      <c r="A10" s="4" t="s">
        <v>122</v>
      </c>
      <c r="B10" s="4" t="s">
        <v>123</v>
      </c>
      <c r="C10" s="4" t="s">
        <v>113</v>
      </c>
      <c r="D10" s="4" t="s">
        <v>49</v>
      </c>
      <c r="E10" s="4"/>
      <c r="F10" s="4" t="s">
        <v>124</v>
      </c>
      <c r="G10" s="5" t="s">
        <v>125</v>
      </c>
      <c r="H10" s="5" t="s">
        <v>126</v>
      </c>
      <c r="I10" s="5" t="s">
        <v>127</v>
      </c>
      <c r="J10" s="5" t="s">
        <v>128</v>
      </c>
      <c r="K10" s="4" t="s">
        <v>119</v>
      </c>
      <c r="L10" s="4" t="n">
        <v>9</v>
      </c>
      <c r="M10" s="4" t="n">
        <v>1</v>
      </c>
      <c r="N10" s="4" t="s">
        <v>33</v>
      </c>
      <c r="O10" s="5" t="s">
        <v>129</v>
      </c>
      <c r="P10" s="5" t="s">
        <v>130</v>
      </c>
      <c r="Q10" s="5"/>
      <c r="R10" s="5"/>
      <c r="S10" s="4" t="n">
        <f aca="false">COUNTIF(Contacts!$A:$A,A10)</f>
        <v>0</v>
      </c>
      <c r="T10" s="6"/>
      <c r="U10" s="6"/>
      <c r="V10" s="6"/>
      <c r="W10" s="6"/>
      <c r="X10" s="6"/>
      <c r="Y10" s="6"/>
      <c r="Z10" s="6"/>
      <c r="AA10" s="6"/>
      <c r="AB10" s="7"/>
    </row>
    <row r="11" customFormat="false" ht="46.25" hidden="false" customHeight="false" outlineLevel="0" collapsed="false">
      <c r="A11" s="4" t="s">
        <v>131</v>
      </c>
      <c r="B11" s="4" t="s">
        <v>132</v>
      </c>
      <c r="C11" s="4" t="s">
        <v>30</v>
      </c>
      <c r="D11" s="4" t="s">
        <v>49</v>
      </c>
      <c r="E11" s="4"/>
      <c r="F11" s="4" t="s">
        <v>133</v>
      </c>
      <c r="G11" s="5" t="s">
        <v>134</v>
      </c>
      <c r="H11" s="5" t="s">
        <v>135</v>
      </c>
      <c r="I11" s="5" t="s">
        <v>136</v>
      </c>
      <c r="J11" s="5" t="s">
        <v>137</v>
      </c>
      <c r="K11" s="4" t="s">
        <v>138</v>
      </c>
      <c r="L11" s="4" t="n">
        <v>9</v>
      </c>
      <c r="M11" s="4" t="n">
        <v>1</v>
      </c>
      <c r="N11" s="4" t="s">
        <v>33</v>
      </c>
      <c r="O11" s="5" t="s">
        <v>139</v>
      </c>
      <c r="P11" s="5" t="s">
        <v>140</v>
      </c>
      <c r="Q11" s="5"/>
      <c r="R11" s="5"/>
      <c r="S11" s="4" t="n">
        <f aca="false">COUNTIF(Contacts!$A:$A,A11)</f>
        <v>0</v>
      </c>
      <c r="T11" s="6"/>
      <c r="U11" s="6"/>
      <c r="V11" s="6"/>
      <c r="W11" s="6"/>
      <c r="X11" s="6"/>
      <c r="Y11" s="6"/>
      <c r="Z11" s="6"/>
      <c r="AA11" s="6"/>
      <c r="AB11" s="7"/>
    </row>
    <row r="12" customFormat="false" ht="46.25" hidden="false" customHeight="false" outlineLevel="0" collapsed="false">
      <c r="A12" s="4" t="s">
        <v>141</v>
      </c>
      <c r="B12" s="4" t="s">
        <v>142</v>
      </c>
      <c r="C12" s="4" t="s">
        <v>61</v>
      </c>
      <c r="D12" s="4" t="s">
        <v>49</v>
      </c>
      <c r="E12" s="4"/>
      <c r="F12" s="4" t="s">
        <v>50</v>
      </c>
      <c r="G12" s="5" t="s">
        <v>143</v>
      </c>
      <c r="H12" s="5" t="s">
        <v>144</v>
      </c>
      <c r="I12" s="5" t="s">
        <v>145</v>
      </c>
      <c r="J12" s="5" t="s">
        <v>146</v>
      </c>
      <c r="K12" s="4" t="s">
        <v>147</v>
      </c>
      <c r="L12" s="4" t="n">
        <v>9</v>
      </c>
      <c r="M12" s="4" t="n">
        <v>1</v>
      </c>
      <c r="N12" s="4" t="s">
        <v>33</v>
      </c>
      <c r="O12" s="5" t="s">
        <v>148</v>
      </c>
      <c r="P12" s="5" t="s">
        <v>149</v>
      </c>
      <c r="Q12" s="5" t="s">
        <v>150</v>
      </c>
      <c r="R12" s="5"/>
      <c r="S12" s="4" t="n">
        <f aca="false">COUNTIF(Contacts!$A:$A,A12)</f>
        <v>0</v>
      </c>
      <c r="T12" s="6"/>
      <c r="U12" s="6"/>
      <c r="V12" s="6"/>
      <c r="W12" s="6"/>
      <c r="X12" s="6"/>
      <c r="Y12" s="6"/>
      <c r="Z12" s="6"/>
      <c r="AA12" s="6"/>
      <c r="AB12" s="7"/>
    </row>
    <row r="13" customFormat="false" ht="57.45" hidden="false" customHeight="false" outlineLevel="0" collapsed="false">
      <c r="A13" s="4" t="s">
        <v>151</v>
      </c>
      <c r="B13" s="4" t="s">
        <v>152</v>
      </c>
      <c r="C13" s="4" t="s">
        <v>30</v>
      </c>
      <c r="D13" s="4" t="s">
        <v>31</v>
      </c>
      <c r="E13" s="4"/>
      <c r="F13" s="4" t="s">
        <v>153</v>
      </c>
      <c r="G13" s="5" t="s">
        <v>154</v>
      </c>
      <c r="H13" s="5" t="s">
        <v>155</v>
      </c>
      <c r="I13" s="5" t="s">
        <v>156</v>
      </c>
      <c r="J13" s="5" t="s">
        <v>157</v>
      </c>
      <c r="K13" s="4" t="s">
        <v>138</v>
      </c>
      <c r="L13" s="4" t="n">
        <v>9</v>
      </c>
      <c r="M13" s="4" t="n">
        <v>1</v>
      </c>
      <c r="N13" s="4" t="s">
        <v>77</v>
      </c>
      <c r="O13" s="5" t="s">
        <v>158</v>
      </c>
      <c r="P13" s="5" t="s">
        <v>159</v>
      </c>
      <c r="Q13" s="5"/>
      <c r="R13" s="5"/>
      <c r="S13" s="4" t="n">
        <f aca="false">COUNTIF(Contacts!$A:$A,A13)</f>
        <v>0</v>
      </c>
      <c r="T13" s="6"/>
      <c r="U13" s="6"/>
      <c r="V13" s="6"/>
      <c r="W13" s="6"/>
      <c r="X13" s="6"/>
      <c r="Y13" s="6"/>
      <c r="Z13" s="6"/>
      <c r="AA13" s="6"/>
      <c r="AB13" s="7"/>
    </row>
    <row r="14" customFormat="false" ht="46.25" hidden="false" customHeight="false" outlineLevel="0" collapsed="false">
      <c r="A14" s="4" t="s">
        <v>160</v>
      </c>
      <c r="B14" s="4" t="s">
        <v>161</v>
      </c>
      <c r="C14" s="4" t="s">
        <v>30</v>
      </c>
      <c r="D14" s="4" t="s">
        <v>31</v>
      </c>
      <c r="E14" s="4"/>
      <c r="F14" s="4" t="s">
        <v>162</v>
      </c>
      <c r="G14" s="5" t="s">
        <v>163</v>
      </c>
      <c r="H14" s="5" t="s">
        <v>164</v>
      </c>
      <c r="I14" s="5" t="s">
        <v>165</v>
      </c>
      <c r="J14" s="5" t="s">
        <v>166</v>
      </c>
      <c r="K14" s="4" t="s">
        <v>147</v>
      </c>
      <c r="L14" s="4" t="n">
        <v>9</v>
      </c>
      <c r="M14" s="4" t="n">
        <v>1</v>
      </c>
      <c r="N14" s="4" t="s">
        <v>77</v>
      </c>
      <c r="O14" s="5" t="s">
        <v>167</v>
      </c>
      <c r="P14" s="5" t="s">
        <v>168</v>
      </c>
      <c r="Q14" s="5" t="s">
        <v>150</v>
      </c>
      <c r="R14" s="5"/>
      <c r="S14" s="4" t="n">
        <f aca="false">COUNTIF(Contacts!$A:$A,A14)</f>
        <v>0</v>
      </c>
      <c r="T14" s="6"/>
      <c r="U14" s="6"/>
      <c r="V14" s="6"/>
      <c r="W14" s="6"/>
      <c r="X14" s="6"/>
      <c r="Y14" s="6"/>
      <c r="Z14" s="6"/>
      <c r="AA14" s="6"/>
      <c r="AB14" s="7"/>
    </row>
    <row r="15" customFormat="false" ht="35.05" hidden="false" customHeight="false" outlineLevel="0" collapsed="false">
      <c r="A15" s="4" t="s">
        <v>169</v>
      </c>
      <c r="B15" s="4" t="s">
        <v>170</v>
      </c>
      <c r="C15" s="4" t="s">
        <v>48</v>
      </c>
      <c r="D15" s="4" t="s">
        <v>31</v>
      </c>
      <c r="E15" s="4"/>
      <c r="F15" s="4" t="s">
        <v>171</v>
      </c>
      <c r="G15" s="5" t="s">
        <v>172</v>
      </c>
      <c r="H15" s="5" t="s">
        <v>173</v>
      </c>
      <c r="I15" s="5" t="s">
        <v>174</v>
      </c>
      <c r="J15" s="5" t="s">
        <v>175</v>
      </c>
      <c r="K15" s="4" t="s">
        <v>147</v>
      </c>
      <c r="L15" s="4" t="n">
        <v>9</v>
      </c>
      <c r="M15" s="4" t="n">
        <v>1</v>
      </c>
      <c r="N15" s="4" t="s">
        <v>77</v>
      </c>
      <c r="O15" s="5" t="s">
        <v>176</v>
      </c>
      <c r="P15" s="5" t="s">
        <v>177</v>
      </c>
      <c r="Q15" s="5" t="s">
        <v>178</v>
      </c>
      <c r="R15" s="5"/>
      <c r="S15" s="4" t="n">
        <f aca="false">COUNTIF(Contacts!$A:$A,A15)</f>
        <v>0</v>
      </c>
      <c r="T15" s="6"/>
      <c r="U15" s="6"/>
      <c r="V15" s="6"/>
      <c r="W15" s="6"/>
      <c r="X15" s="6"/>
      <c r="Y15" s="6"/>
      <c r="Z15" s="6"/>
      <c r="AA15" s="6"/>
      <c r="AB15" s="7"/>
    </row>
    <row r="16" customFormat="false" ht="46.25" hidden="false" customHeight="false" outlineLevel="0" collapsed="false">
      <c r="A16" s="4" t="s">
        <v>179</v>
      </c>
      <c r="B16" s="4" t="s">
        <v>180</v>
      </c>
      <c r="C16" s="4" t="s">
        <v>30</v>
      </c>
      <c r="D16" s="4" t="s">
        <v>31</v>
      </c>
      <c r="E16" s="4"/>
      <c r="F16" s="4" t="s">
        <v>181</v>
      </c>
      <c r="G16" s="5" t="s">
        <v>182</v>
      </c>
      <c r="H16" s="5" t="s">
        <v>183</v>
      </c>
      <c r="I16" s="5" t="s">
        <v>184</v>
      </c>
      <c r="J16" s="5" t="s">
        <v>185</v>
      </c>
      <c r="K16" s="4" t="s">
        <v>138</v>
      </c>
      <c r="L16" s="4" t="n">
        <v>9</v>
      </c>
      <c r="M16" s="4" t="n">
        <v>1</v>
      </c>
      <c r="N16" s="4" t="s">
        <v>77</v>
      </c>
      <c r="O16" s="5" t="s">
        <v>186</v>
      </c>
      <c r="P16" s="5" t="s">
        <v>187</v>
      </c>
      <c r="Q16" s="5"/>
      <c r="R16" s="5" t="s">
        <v>188</v>
      </c>
      <c r="S16" s="4" t="n">
        <f aca="false">COUNTIF(Contacts!$A:$A,A16)</f>
        <v>1</v>
      </c>
      <c r="T16" s="6"/>
      <c r="U16" s="6"/>
      <c r="V16" s="6"/>
      <c r="W16" s="6"/>
      <c r="X16" s="6"/>
      <c r="Y16" s="6"/>
      <c r="Z16" s="6"/>
      <c r="AA16" s="6"/>
      <c r="AB16" s="7"/>
    </row>
    <row r="17" customFormat="false" ht="46.25" hidden="false" customHeight="false" outlineLevel="0" collapsed="false">
      <c r="A17" s="4" t="s">
        <v>189</v>
      </c>
      <c r="B17" s="4" t="s">
        <v>190</v>
      </c>
      <c r="C17" s="4" t="s">
        <v>191</v>
      </c>
      <c r="D17" s="4" t="s">
        <v>93</v>
      </c>
      <c r="E17" s="4"/>
      <c r="F17" s="4" t="s">
        <v>192</v>
      </c>
      <c r="G17" s="5" t="s">
        <v>193</v>
      </c>
      <c r="H17" s="5" t="s">
        <v>194</v>
      </c>
      <c r="I17" s="5" t="s">
        <v>195</v>
      </c>
      <c r="J17" s="5" t="s">
        <v>196</v>
      </c>
      <c r="K17" s="4"/>
      <c r="L17" s="4" t="n">
        <v>9</v>
      </c>
      <c r="M17" s="4" t="n">
        <v>1</v>
      </c>
      <c r="N17" s="4" t="s">
        <v>33</v>
      </c>
      <c r="O17" s="5" t="s">
        <v>197</v>
      </c>
      <c r="P17" s="5" t="s">
        <v>198</v>
      </c>
      <c r="Q17" s="5" t="s">
        <v>150</v>
      </c>
      <c r="R17" s="5" t="s">
        <v>199</v>
      </c>
      <c r="S17" s="4" t="n">
        <f aca="false">COUNTIF(Contacts!$A:$A,A17)</f>
        <v>1</v>
      </c>
      <c r="T17" s="6"/>
      <c r="U17" s="6"/>
      <c r="V17" s="6"/>
      <c r="W17" s="6"/>
      <c r="X17" s="6"/>
      <c r="Y17" s="6"/>
      <c r="Z17" s="6"/>
      <c r="AA17" s="6"/>
      <c r="AB17" s="7"/>
    </row>
    <row r="18" customFormat="false" ht="57.45" hidden="false" customHeight="false" outlineLevel="0" collapsed="false">
      <c r="A18" s="4" t="s">
        <v>200</v>
      </c>
      <c r="B18" s="4" t="s">
        <v>201</v>
      </c>
      <c r="C18" s="4" t="s">
        <v>61</v>
      </c>
      <c r="D18" s="4" t="s">
        <v>93</v>
      </c>
      <c r="E18" s="4"/>
      <c r="F18" s="4" t="s">
        <v>202</v>
      </c>
      <c r="G18" s="5" t="s">
        <v>203</v>
      </c>
      <c r="H18" s="5" t="s">
        <v>204</v>
      </c>
      <c r="I18" s="5" t="s">
        <v>205</v>
      </c>
      <c r="J18" s="5" t="s">
        <v>206</v>
      </c>
      <c r="K18" s="4"/>
      <c r="L18" s="4" t="n">
        <v>9</v>
      </c>
      <c r="M18" s="4" t="n">
        <v>1</v>
      </c>
      <c r="N18" s="4" t="s">
        <v>33</v>
      </c>
      <c r="O18" s="5" t="s">
        <v>207</v>
      </c>
      <c r="P18" s="5" t="s">
        <v>208</v>
      </c>
      <c r="Q18" s="5" t="s">
        <v>209</v>
      </c>
      <c r="R18" s="5" t="s">
        <v>210</v>
      </c>
      <c r="S18" s="4" t="n">
        <f aca="false">COUNTIF(Contacts!$A:$A,A18)</f>
        <v>1</v>
      </c>
      <c r="T18" s="6"/>
      <c r="U18" s="6"/>
      <c r="V18" s="6"/>
      <c r="W18" s="6"/>
      <c r="X18" s="6"/>
      <c r="Y18" s="6"/>
      <c r="Z18" s="6"/>
      <c r="AA18" s="6"/>
      <c r="AB18" s="7"/>
    </row>
    <row r="19" customFormat="false" ht="102.2" hidden="false" customHeight="false" outlineLevel="0" collapsed="false">
      <c r="A19" s="4" t="s">
        <v>211</v>
      </c>
      <c r="B19" s="4" t="s">
        <v>212</v>
      </c>
      <c r="C19" s="4" t="s">
        <v>213</v>
      </c>
      <c r="D19" s="4" t="s">
        <v>93</v>
      </c>
      <c r="E19" s="4"/>
      <c r="F19" s="4" t="s">
        <v>214</v>
      </c>
      <c r="G19" s="5" t="s">
        <v>215</v>
      </c>
      <c r="H19" s="5" t="s">
        <v>216</v>
      </c>
      <c r="I19" s="5" t="s">
        <v>217</v>
      </c>
      <c r="J19" s="5" t="s">
        <v>218</v>
      </c>
      <c r="K19" s="4"/>
      <c r="L19" s="4" t="n">
        <v>9</v>
      </c>
      <c r="M19" s="4" t="n">
        <v>1</v>
      </c>
      <c r="N19" s="4" t="s">
        <v>33</v>
      </c>
      <c r="O19" s="5" t="s">
        <v>219</v>
      </c>
      <c r="P19" s="5" t="s">
        <v>220</v>
      </c>
      <c r="Q19" s="5" t="s">
        <v>150</v>
      </c>
      <c r="R19" s="5" t="s">
        <v>221</v>
      </c>
      <c r="S19" s="4" t="n">
        <f aca="false">COUNTIF(Contacts!$A:$A,A19)</f>
        <v>1</v>
      </c>
      <c r="T19" s="6"/>
      <c r="U19" s="6"/>
      <c r="V19" s="6"/>
      <c r="W19" s="6"/>
      <c r="X19" s="6"/>
      <c r="Y19" s="6"/>
      <c r="Z19" s="6"/>
      <c r="AA19" s="6"/>
      <c r="AB19" s="7"/>
    </row>
    <row r="20" customFormat="false" ht="57.45" hidden="false" customHeight="false" outlineLevel="0" collapsed="false">
      <c r="A20" s="4" t="s">
        <v>222</v>
      </c>
      <c r="B20" s="4" t="s">
        <v>223</v>
      </c>
      <c r="C20" s="4" t="s">
        <v>48</v>
      </c>
      <c r="D20" s="4" t="s">
        <v>93</v>
      </c>
      <c r="E20" s="4"/>
      <c r="F20" s="4" t="s">
        <v>224</v>
      </c>
      <c r="G20" s="5" t="s">
        <v>225</v>
      </c>
      <c r="H20" s="5" t="s">
        <v>226</v>
      </c>
      <c r="I20" s="5" t="s">
        <v>227</v>
      </c>
      <c r="J20" s="5" t="s">
        <v>228</v>
      </c>
      <c r="K20" s="4"/>
      <c r="L20" s="4" t="n">
        <v>9</v>
      </c>
      <c r="M20" s="4" t="n">
        <v>1</v>
      </c>
      <c r="N20" s="4" t="s">
        <v>33</v>
      </c>
      <c r="O20" s="5" t="s">
        <v>229</v>
      </c>
      <c r="P20" s="5" t="s">
        <v>230</v>
      </c>
      <c r="Q20" s="5" t="s">
        <v>150</v>
      </c>
      <c r="R20" s="5" t="s">
        <v>231</v>
      </c>
      <c r="S20" s="4" t="n">
        <f aca="false">COUNTIF(Contacts!$A:$A,A20)</f>
        <v>1</v>
      </c>
      <c r="T20" s="6"/>
      <c r="U20" s="6"/>
      <c r="V20" s="6"/>
      <c r="W20" s="6"/>
      <c r="X20" s="6"/>
      <c r="Y20" s="6"/>
      <c r="Z20" s="6"/>
      <c r="AA20" s="6"/>
      <c r="AB20" s="7"/>
    </row>
    <row r="21" customFormat="false" ht="57.45" hidden="false" customHeight="false" outlineLevel="0" collapsed="false">
      <c r="A21" s="4" t="s">
        <v>232</v>
      </c>
      <c r="B21" s="4" t="s">
        <v>233</v>
      </c>
      <c r="C21" s="4" t="s">
        <v>48</v>
      </c>
      <c r="D21" s="4" t="s">
        <v>93</v>
      </c>
      <c r="E21" s="4"/>
      <c r="F21" s="4" t="s">
        <v>234</v>
      </c>
      <c r="G21" s="5" t="s">
        <v>235</v>
      </c>
      <c r="H21" s="5" t="s">
        <v>236</v>
      </c>
      <c r="I21" s="5" t="s">
        <v>205</v>
      </c>
      <c r="J21" s="5" t="s">
        <v>237</v>
      </c>
      <c r="K21" s="4"/>
      <c r="L21" s="4" t="n">
        <v>9</v>
      </c>
      <c r="M21" s="4" t="n">
        <v>1</v>
      </c>
      <c r="N21" s="4" t="s">
        <v>33</v>
      </c>
      <c r="O21" s="5" t="s">
        <v>238</v>
      </c>
      <c r="P21" s="5" t="s">
        <v>239</v>
      </c>
      <c r="Q21" s="5" t="s">
        <v>150</v>
      </c>
      <c r="R21" s="5" t="s">
        <v>240</v>
      </c>
      <c r="S21" s="4" t="n">
        <f aca="false">COUNTIF(Contacts!$A:$A,A21)</f>
        <v>1</v>
      </c>
      <c r="T21" s="6"/>
      <c r="U21" s="6"/>
      <c r="V21" s="6"/>
      <c r="W21" s="6"/>
      <c r="X21" s="6"/>
      <c r="Y21" s="6"/>
      <c r="Z21" s="6"/>
      <c r="AA21" s="6"/>
      <c r="AB21" s="7"/>
    </row>
    <row r="22" customFormat="false" ht="35.05" hidden="false" customHeight="false" outlineLevel="0" collapsed="false">
      <c r="A22" s="4" t="s">
        <v>241</v>
      </c>
      <c r="B22" s="4" t="s">
        <v>242</v>
      </c>
      <c r="C22" s="4" t="s">
        <v>113</v>
      </c>
      <c r="D22" s="4" t="s">
        <v>243</v>
      </c>
      <c r="E22" s="4"/>
      <c r="F22" s="4" t="s">
        <v>244</v>
      </c>
      <c r="G22" s="5" t="s">
        <v>245</v>
      </c>
      <c r="H22" s="5" t="s">
        <v>246</v>
      </c>
      <c r="I22" s="5"/>
      <c r="J22" s="5" t="s">
        <v>247</v>
      </c>
      <c r="K22" s="4"/>
      <c r="L22" s="4" t="n">
        <v>9</v>
      </c>
      <c r="M22" s="4" t="n">
        <v>1</v>
      </c>
      <c r="N22" s="4" t="s">
        <v>77</v>
      </c>
      <c r="O22" s="5" t="s">
        <v>248</v>
      </c>
      <c r="P22" s="5" t="s">
        <v>249</v>
      </c>
      <c r="Q22" s="5" t="s">
        <v>80</v>
      </c>
      <c r="R22" s="5" t="s">
        <v>250</v>
      </c>
      <c r="S22" s="4" t="n">
        <f aca="false">COUNTIF(Contacts!$A:$A,A22)</f>
        <v>1</v>
      </c>
      <c r="T22" s="6"/>
      <c r="U22" s="6"/>
      <c r="V22" s="6"/>
      <c r="W22" s="6"/>
      <c r="X22" s="6"/>
      <c r="Y22" s="6"/>
      <c r="Z22" s="6"/>
      <c r="AA22" s="6"/>
      <c r="AB22" s="7"/>
    </row>
    <row r="23" customFormat="false" ht="57.45" hidden="false" customHeight="false" outlineLevel="0" collapsed="false">
      <c r="A23" s="4" t="s">
        <v>251</v>
      </c>
      <c r="B23" s="4" t="s">
        <v>252</v>
      </c>
      <c r="C23" s="4" t="s">
        <v>113</v>
      </c>
      <c r="D23" s="4" t="s">
        <v>243</v>
      </c>
      <c r="E23" s="4"/>
      <c r="F23" s="4" t="s">
        <v>253</v>
      </c>
      <c r="G23" s="5" t="s">
        <v>254</v>
      </c>
      <c r="H23" s="5" t="s">
        <v>255</v>
      </c>
      <c r="I23" s="5"/>
      <c r="J23" s="5" t="s">
        <v>256</v>
      </c>
      <c r="K23" s="4"/>
      <c r="L23" s="4" t="n">
        <v>9</v>
      </c>
      <c r="M23" s="4" t="n">
        <v>1</v>
      </c>
      <c r="N23" s="4" t="s">
        <v>77</v>
      </c>
      <c r="O23" s="5" t="s">
        <v>257</v>
      </c>
      <c r="P23" s="5" t="s">
        <v>258</v>
      </c>
      <c r="Q23" s="5"/>
      <c r="R23" s="5" t="s">
        <v>259</v>
      </c>
      <c r="S23" s="4" t="n">
        <f aca="false">COUNTIF(Contacts!$A:$A,A23)</f>
        <v>1</v>
      </c>
      <c r="T23" s="6"/>
      <c r="U23" s="6"/>
      <c r="V23" s="6"/>
      <c r="W23" s="6"/>
      <c r="X23" s="6"/>
      <c r="Y23" s="6"/>
      <c r="Z23" s="6"/>
      <c r="AA23" s="6"/>
      <c r="AB23" s="7"/>
    </row>
    <row r="24" customFormat="false" ht="57.45" hidden="false" customHeight="false" outlineLevel="0" collapsed="false">
      <c r="A24" s="4" t="s">
        <v>260</v>
      </c>
      <c r="B24" s="4" t="s">
        <v>261</v>
      </c>
      <c r="C24" s="4" t="s">
        <v>113</v>
      </c>
      <c r="D24" s="4" t="s">
        <v>243</v>
      </c>
      <c r="E24" s="4"/>
      <c r="F24" s="4" t="s">
        <v>262</v>
      </c>
      <c r="G24" s="5" t="s">
        <v>263</v>
      </c>
      <c r="H24" s="5" t="s">
        <v>264</v>
      </c>
      <c r="I24" s="5"/>
      <c r="J24" s="5" t="s">
        <v>265</v>
      </c>
      <c r="K24" s="4"/>
      <c r="L24" s="4" t="n">
        <v>9</v>
      </c>
      <c r="M24" s="4" t="n">
        <v>1</v>
      </c>
      <c r="N24" s="4" t="s">
        <v>77</v>
      </c>
      <c r="O24" s="5" t="s">
        <v>266</v>
      </c>
      <c r="P24" s="5" t="s">
        <v>267</v>
      </c>
      <c r="Q24" s="5"/>
      <c r="R24" s="5" t="s">
        <v>268</v>
      </c>
      <c r="S24" s="4" t="n">
        <f aca="false">COUNTIF(Contacts!$A:$A,A24)</f>
        <v>1</v>
      </c>
      <c r="T24" s="6"/>
      <c r="U24" s="6"/>
      <c r="V24" s="6"/>
      <c r="W24" s="6"/>
      <c r="X24" s="6"/>
      <c r="Y24" s="6"/>
      <c r="Z24" s="6"/>
      <c r="AA24" s="6"/>
      <c r="AB24" s="7"/>
    </row>
    <row r="25" customFormat="false" ht="57.45" hidden="false" customHeight="false" outlineLevel="0" collapsed="false">
      <c r="A25" s="4" t="s">
        <v>269</v>
      </c>
      <c r="B25" s="4" t="s">
        <v>270</v>
      </c>
      <c r="C25" s="4" t="s">
        <v>30</v>
      </c>
      <c r="D25" s="4" t="s">
        <v>49</v>
      </c>
      <c r="E25" s="4"/>
      <c r="F25" s="4" t="s">
        <v>271</v>
      </c>
      <c r="G25" s="5" t="s">
        <v>272</v>
      </c>
      <c r="H25" s="5" t="s">
        <v>273</v>
      </c>
      <c r="I25" s="5" t="s">
        <v>274</v>
      </c>
      <c r="J25" s="5" t="s">
        <v>275</v>
      </c>
      <c r="K25" s="4" t="s">
        <v>276</v>
      </c>
      <c r="L25" s="4" t="n">
        <v>8</v>
      </c>
      <c r="M25" s="4" t="n">
        <v>2</v>
      </c>
      <c r="N25" s="4" t="s">
        <v>33</v>
      </c>
      <c r="O25" s="5" t="s">
        <v>277</v>
      </c>
      <c r="P25" s="5" t="s">
        <v>278</v>
      </c>
      <c r="Q25" s="5" t="s">
        <v>279</v>
      </c>
      <c r="R25" s="5" t="s">
        <v>280</v>
      </c>
      <c r="S25" s="4" t="n">
        <f aca="false">COUNTIF(Contacts!$A:$A,A25)</f>
        <v>1</v>
      </c>
      <c r="T25" s="6"/>
      <c r="U25" s="6"/>
      <c r="V25" s="6"/>
      <c r="W25" s="6"/>
      <c r="X25" s="6"/>
      <c r="Y25" s="6"/>
      <c r="Z25" s="6"/>
      <c r="AA25" s="6"/>
      <c r="AB25" s="7"/>
    </row>
    <row r="26" customFormat="false" ht="57.45" hidden="false" customHeight="false" outlineLevel="0" collapsed="false">
      <c r="A26" s="4" t="s">
        <v>281</v>
      </c>
      <c r="B26" s="4" t="s">
        <v>282</v>
      </c>
      <c r="C26" s="4" t="s">
        <v>113</v>
      </c>
      <c r="D26" s="4" t="s">
        <v>49</v>
      </c>
      <c r="E26" s="4"/>
      <c r="F26" s="4" t="s">
        <v>283</v>
      </c>
      <c r="G26" s="5" t="s">
        <v>284</v>
      </c>
      <c r="H26" s="5" t="s">
        <v>285</v>
      </c>
      <c r="I26" s="5" t="s">
        <v>286</v>
      </c>
      <c r="J26" s="5" t="s">
        <v>287</v>
      </c>
      <c r="K26" s="4" t="s">
        <v>288</v>
      </c>
      <c r="L26" s="4" t="n">
        <v>8</v>
      </c>
      <c r="M26" s="4" t="n">
        <v>2</v>
      </c>
      <c r="N26" s="4" t="s">
        <v>33</v>
      </c>
      <c r="O26" s="5" t="s">
        <v>289</v>
      </c>
      <c r="P26" s="5" t="s">
        <v>290</v>
      </c>
      <c r="Q26" s="5"/>
      <c r="R26" s="5" t="s">
        <v>291</v>
      </c>
      <c r="S26" s="4" t="n">
        <f aca="false">COUNTIF(Contacts!$A:$A,A26)</f>
        <v>1</v>
      </c>
      <c r="T26" s="6"/>
      <c r="U26" s="6"/>
      <c r="V26" s="6"/>
      <c r="W26" s="6"/>
      <c r="X26" s="6"/>
      <c r="Y26" s="6"/>
      <c r="Z26" s="6"/>
      <c r="AA26" s="6"/>
      <c r="AB26" s="7"/>
    </row>
    <row r="27" customFormat="false" ht="46.25" hidden="false" customHeight="false" outlineLevel="0" collapsed="false">
      <c r="A27" s="4" t="s">
        <v>292</v>
      </c>
      <c r="B27" s="4" t="s">
        <v>293</v>
      </c>
      <c r="C27" s="4" t="s">
        <v>294</v>
      </c>
      <c r="D27" s="4" t="s">
        <v>49</v>
      </c>
      <c r="E27" s="4"/>
      <c r="F27" s="4" t="s">
        <v>295</v>
      </c>
      <c r="G27" s="5" t="s">
        <v>296</v>
      </c>
      <c r="H27" s="5" t="s">
        <v>297</v>
      </c>
      <c r="I27" s="5" t="s">
        <v>145</v>
      </c>
      <c r="J27" s="5" t="s">
        <v>298</v>
      </c>
      <c r="K27" s="4" t="s">
        <v>299</v>
      </c>
      <c r="L27" s="4" t="n">
        <v>8</v>
      </c>
      <c r="M27" s="4" t="n">
        <v>2</v>
      </c>
      <c r="N27" s="4" t="s">
        <v>33</v>
      </c>
      <c r="O27" s="5" t="s">
        <v>300</v>
      </c>
      <c r="P27" s="5" t="s">
        <v>301</v>
      </c>
      <c r="Q27" s="5" t="s">
        <v>150</v>
      </c>
      <c r="R27" s="5" t="s">
        <v>302</v>
      </c>
      <c r="S27" s="4" t="n">
        <f aca="false">COUNTIF(Contacts!$A:$A,A27)</f>
        <v>1</v>
      </c>
      <c r="T27" s="6"/>
      <c r="U27" s="6"/>
      <c r="V27" s="6"/>
      <c r="W27" s="6"/>
      <c r="X27" s="6"/>
      <c r="Y27" s="6"/>
      <c r="Z27" s="6"/>
      <c r="AA27" s="6"/>
      <c r="AB27" s="7"/>
    </row>
    <row r="28" customFormat="false" ht="46.25" hidden="false" customHeight="false" outlineLevel="0" collapsed="false">
      <c r="A28" s="4" t="s">
        <v>303</v>
      </c>
      <c r="B28" s="4" t="s">
        <v>304</v>
      </c>
      <c r="C28" s="4" t="s">
        <v>305</v>
      </c>
      <c r="D28" s="4" t="s">
        <v>49</v>
      </c>
      <c r="E28" s="4"/>
      <c r="F28" s="4" t="s">
        <v>306</v>
      </c>
      <c r="G28" s="5" t="s">
        <v>307</v>
      </c>
      <c r="H28" s="5" t="s">
        <v>308</v>
      </c>
      <c r="I28" s="5" t="s">
        <v>309</v>
      </c>
      <c r="J28" s="5" t="s">
        <v>310</v>
      </c>
      <c r="K28" s="4" t="s">
        <v>288</v>
      </c>
      <c r="L28" s="4" t="n">
        <v>8</v>
      </c>
      <c r="M28" s="4" t="n">
        <v>2</v>
      </c>
      <c r="N28" s="4" t="s">
        <v>33</v>
      </c>
      <c r="O28" s="5" t="s">
        <v>311</v>
      </c>
      <c r="P28" s="5" t="s">
        <v>312</v>
      </c>
      <c r="Q28" s="5"/>
      <c r="R28" s="5" t="s">
        <v>313</v>
      </c>
      <c r="S28" s="4" t="n">
        <f aca="false">COUNTIF(Contacts!$A:$A,A28)</f>
        <v>1</v>
      </c>
      <c r="T28" s="6"/>
      <c r="U28" s="6"/>
      <c r="V28" s="6"/>
      <c r="W28" s="6"/>
      <c r="X28" s="6"/>
      <c r="Y28" s="6"/>
      <c r="Z28" s="6"/>
      <c r="AA28" s="6"/>
      <c r="AB28" s="7"/>
    </row>
    <row r="29" customFormat="false" ht="46.25" hidden="false" customHeight="false" outlineLevel="0" collapsed="false">
      <c r="A29" s="4" t="s">
        <v>314</v>
      </c>
      <c r="B29" s="4" t="s">
        <v>315</v>
      </c>
      <c r="C29" s="4" t="s">
        <v>113</v>
      </c>
      <c r="D29" s="4" t="s">
        <v>49</v>
      </c>
      <c r="E29" s="4"/>
      <c r="F29" s="4" t="s">
        <v>271</v>
      </c>
      <c r="G29" s="5" t="s">
        <v>316</v>
      </c>
      <c r="H29" s="5" t="s">
        <v>317</v>
      </c>
      <c r="I29" s="5" t="s">
        <v>318</v>
      </c>
      <c r="J29" s="5" t="s">
        <v>319</v>
      </c>
      <c r="K29" s="4" t="s">
        <v>288</v>
      </c>
      <c r="L29" s="4" t="n">
        <v>8</v>
      </c>
      <c r="M29" s="4" t="n">
        <v>2</v>
      </c>
      <c r="N29" s="4" t="s">
        <v>33</v>
      </c>
      <c r="O29" s="5" t="s">
        <v>320</v>
      </c>
      <c r="P29" s="5" t="s">
        <v>321</v>
      </c>
      <c r="Q29" s="5"/>
      <c r="R29" s="5" t="s">
        <v>322</v>
      </c>
      <c r="S29" s="4" t="n">
        <f aca="false">COUNTIF(Contacts!$A:$A,A29)</f>
        <v>1</v>
      </c>
      <c r="T29" s="6"/>
      <c r="U29" s="6"/>
      <c r="V29" s="6"/>
      <c r="W29" s="6"/>
      <c r="X29" s="6"/>
      <c r="Y29" s="6"/>
      <c r="Z29" s="6"/>
      <c r="AA29" s="6"/>
      <c r="AB29" s="7"/>
    </row>
    <row r="30" customFormat="false" ht="46.25" hidden="false" customHeight="false" outlineLevel="0" collapsed="false">
      <c r="A30" s="4" t="s">
        <v>323</v>
      </c>
      <c r="B30" s="4" t="s">
        <v>324</v>
      </c>
      <c r="C30" s="4" t="s">
        <v>83</v>
      </c>
      <c r="D30" s="4" t="s">
        <v>31</v>
      </c>
      <c r="E30" s="4"/>
      <c r="F30" s="4" t="s">
        <v>325</v>
      </c>
      <c r="G30" s="5" t="s">
        <v>326</v>
      </c>
      <c r="H30" s="5" t="s">
        <v>327</v>
      </c>
      <c r="I30" s="5" t="s">
        <v>145</v>
      </c>
      <c r="J30" s="5" t="s">
        <v>328</v>
      </c>
      <c r="K30" s="4" t="s">
        <v>329</v>
      </c>
      <c r="L30" s="4" t="n">
        <v>8</v>
      </c>
      <c r="M30" s="4" t="n">
        <v>2</v>
      </c>
      <c r="N30" s="4" t="s">
        <v>77</v>
      </c>
      <c r="O30" s="5" t="s">
        <v>330</v>
      </c>
      <c r="P30" s="5" t="s">
        <v>331</v>
      </c>
      <c r="Q30" s="5" t="s">
        <v>332</v>
      </c>
      <c r="R30" s="5" t="s">
        <v>333</v>
      </c>
      <c r="S30" s="4" t="n">
        <f aca="false">COUNTIF(Contacts!$A:$A,A30)</f>
        <v>1</v>
      </c>
      <c r="T30" s="6"/>
      <c r="U30" s="6"/>
      <c r="V30" s="6"/>
      <c r="W30" s="6"/>
      <c r="X30" s="6"/>
      <c r="Y30" s="6"/>
      <c r="Z30" s="6"/>
      <c r="AA30" s="6"/>
      <c r="AB30" s="7"/>
    </row>
    <row r="31" customFormat="false" ht="35.05" hidden="false" customHeight="false" outlineLevel="0" collapsed="false">
      <c r="A31" s="4" t="s">
        <v>334</v>
      </c>
      <c r="B31" s="4" t="s">
        <v>335</v>
      </c>
      <c r="C31" s="4" t="s">
        <v>336</v>
      </c>
      <c r="D31" s="4" t="s">
        <v>31</v>
      </c>
      <c r="E31" s="4"/>
      <c r="F31" s="4" t="s">
        <v>337</v>
      </c>
      <c r="G31" s="5" t="s">
        <v>338</v>
      </c>
      <c r="H31" s="5" t="s">
        <v>339</v>
      </c>
      <c r="I31" s="5" t="s">
        <v>145</v>
      </c>
      <c r="J31" s="5" t="s">
        <v>340</v>
      </c>
      <c r="K31" s="4" t="s">
        <v>329</v>
      </c>
      <c r="L31" s="4" t="n">
        <v>8</v>
      </c>
      <c r="M31" s="4" t="n">
        <v>2</v>
      </c>
      <c r="N31" s="4" t="s">
        <v>77</v>
      </c>
      <c r="O31" s="5" t="s">
        <v>341</v>
      </c>
      <c r="P31" s="5" t="s">
        <v>342</v>
      </c>
      <c r="Q31" s="5" t="s">
        <v>150</v>
      </c>
      <c r="R31" s="5" t="s">
        <v>343</v>
      </c>
      <c r="S31" s="4" t="n">
        <f aca="false">COUNTIF(Contacts!$A:$A,A31)</f>
        <v>2</v>
      </c>
      <c r="T31" s="6"/>
      <c r="U31" s="6"/>
      <c r="V31" s="6"/>
      <c r="W31" s="6"/>
      <c r="X31" s="6"/>
      <c r="Y31" s="6"/>
      <c r="Z31" s="6"/>
      <c r="AA31" s="6"/>
      <c r="AB31" s="7"/>
    </row>
    <row r="32" customFormat="false" ht="46.25" hidden="false" customHeight="false" outlineLevel="0" collapsed="false">
      <c r="A32" s="4" t="s">
        <v>344</v>
      </c>
      <c r="B32" s="4" t="s">
        <v>345</v>
      </c>
      <c r="C32" s="4" t="s">
        <v>83</v>
      </c>
      <c r="D32" s="4" t="s">
        <v>31</v>
      </c>
      <c r="E32" s="4"/>
      <c r="F32" s="4" t="s">
        <v>346</v>
      </c>
      <c r="G32" s="5" t="s">
        <v>347</v>
      </c>
      <c r="H32" s="5" t="s">
        <v>348</v>
      </c>
      <c r="I32" s="5" t="s">
        <v>174</v>
      </c>
      <c r="J32" s="5" t="s">
        <v>349</v>
      </c>
      <c r="K32" s="4" t="s">
        <v>329</v>
      </c>
      <c r="L32" s="4" t="n">
        <v>8</v>
      </c>
      <c r="M32" s="4" t="n">
        <v>2</v>
      </c>
      <c r="N32" s="4" t="s">
        <v>77</v>
      </c>
      <c r="O32" s="5" t="s">
        <v>350</v>
      </c>
      <c r="P32" s="5" t="s">
        <v>351</v>
      </c>
      <c r="Q32" s="5" t="s">
        <v>150</v>
      </c>
      <c r="R32" s="5" t="s">
        <v>352</v>
      </c>
      <c r="S32" s="4" t="n">
        <f aca="false">COUNTIF(Contacts!$A:$A,A32)</f>
        <v>2</v>
      </c>
      <c r="T32" s="6"/>
      <c r="U32" s="6"/>
      <c r="V32" s="6"/>
      <c r="W32" s="6"/>
      <c r="X32" s="6"/>
      <c r="Y32" s="6"/>
      <c r="Z32" s="6"/>
      <c r="AA32" s="6"/>
      <c r="AB32" s="7"/>
    </row>
    <row r="33" customFormat="false" ht="35.05" hidden="false" customHeight="false" outlineLevel="0" collapsed="false">
      <c r="A33" s="4" t="s">
        <v>353</v>
      </c>
      <c r="B33" s="4" t="s">
        <v>354</v>
      </c>
      <c r="C33" s="4" t="s">
        <v>30</v>
      </c>
      <c r="D33" s="4" t="s">
        <v>31</v>
      </c>
      <c r="E33" s="4"/>
      <c r="F33" s="4" t="s">
        <v>355</v>
      </c>
      <c r="G33" s="5" t="s">
        <v>356</v>
      </c>
      <c r="H33" s="5" t="s">
        <v>357</v>
      </c>
      <c r="I33" s="5" t="s">
        <v>145</v>
      </c>
      <c r="J33" s="5" t="s">
        <v>358</v>
      </c>
      <c r="K33" s="4" t="s">
        <v>329</v>
      </c>
      <c r="L33" s="4" t="n">
        <v>8</v>
      </c>
      <c r="M33" s="4" t="n">
        <v>2</v>
      </c>
      <c r="N33" s="4" t="s">
        <v>77</v>
      </c>
      <c r="O33" s="5" t="s">
        <v>359</v>
      </c>
      <c r="P33" s="5" t="s">
        <v>360</v>
      </c>
      <c r="Q33" s="5" t="s">
        <v>361</v>
      </c>
      <c r="R33" s="5" t="s">
        <v>362</v>
      </c>
      <c r="S33" s="4" t="n">
        <f aca="false">COUNTIF(Contacts!$A:$A,A33)</f>
        <v>2</v>
      </c>
      <c r="T33" s="6"/>
      <c r="U33" s="6"/>
      <c r="V33" s="6"/>
      <c r="W33" s="6"/>
      <c r="X33" s="6"/>
      <c r="Y33" s="6"/>
      <c r="Z33" s="6"/>
      <c r="AA33" s="6"/>
      <c r="AB33" s="7"/>
    </row>
    <row r="34" customFormat="false" ht="46.25" hidden="false" customHeight="false" outlineLevel="0" collapsed="false">
      <c r="A34" s="4" t="s">
        <v>363</v>
      </c>
      <c r="B34" s="4" t="s">
        <v>364</v>
      </c>
      <c r="C34" s="4" t="s">
        <v>48</v>
      </c>
      <c r="D34" s="4" t="s">
        <v>31</v>
      </c>
      <c r="E34" s="4"/>
      <c r="F34" s="4" t="s">
        <v>365</v>
      </c>
      <c r="G34" s="5" t="s">
        <v>366</v>
      </c>
      <c r="H34" s="5" t="s">
        <v>367</v>
      </c>
      <c r="I34" s="5" t="s">
        <v>174</v>
      </c>
      <c r="J34" s="5" t="s">
        <v>368</v>
      </c>
      <c r="K34" s="4" t="s">
        <v>329</v>
      </c>
      <c r="L34" s="4" t="n">
        <v>8</v>
      </c>
      <c r="M34" s="4" t="n">
        <v>2</v>
      </c>
      <c r="N34" s="4" t="s">
        <v>77</v>
      </c>
      <c r="O34" s="5" t="s">
        <v>369</v>
      </c>
      <c r="P34" s="5" t="s">
        <v>370</v>
      </c>
      <c r="Q34" s="5" t="s">
        <v>371</v>
      </c>
      <c r="R34" s="5" t="s">
        <v>372</v>
      </c>
      <c r="S34" s="4" t="n">
        <f aca="false">COUNTIF(Contacts!$A:$A,A34)</f>
        <v>2</v>
      </c>
      <c r="T34" s="6"/>
      <c r="U34" s="6"/>
      <c r="V34" s="6"/>
      <c r="W34" s="6"/>
      <c r="X34" s="6"/>
      <c r="Y34" s="6"/>
      <c r="Z34" s="6"/>
      <c r="AA34" s="6"/>
      <c r="AB34" s="7"/>
    </row>
    <row r="35" customFormat="false" ht="57.45" hidden="false" customHeight="false" outlineLevel="0" collapsed="false">
      <c r="A35" s="4" t="s">
        <v>373</v>
      </c>
      <c r="B35" s="4" t="s">
        <v>374</v>
      </c>
      <c r="C35" s="4" t="s">
        <v>375</v>
      </c>
      <c r="D35" s="4" t="s">
        <v>31</v>
      </c>
      <c r="E35" s="4"/>
      <c r="F35" s="4" t="s">
        <v>376</v>
      </c>
      <c r="G35" s="5" t="s">
        <v>377</v>
      </c>
      <c r="H35" s="5" t="s">
        <v>378</v>
      </c>
      <c r="I35" s="5" t="s">
        <v>379</v>
      </c>
      <c r="J35" s="5" t="s">
        <v>380</v>
      </c>
      <c r="K35" s="4" t="s">
        <v>276</v>
      </c>
      <c r="L35" s="4" t="n">
        <v>8</v>
      </c>
      <c r="M35" s="4" t="n">
        <v>2</v>
      </c>
      <c r="N35" s="4" t="s">
        <v>77</v>
      </c>
      <c r="O35" s="5" t="s">
        <v>381</v>
      </c>
      <c r="P35" s="5" t="s">
        <v>382</v>
      </c>
      <c r="Q35" s="5" t="s">
        <v>383</v>
      </c>
      <c r="R35" s="5" t="s">
        <v>384</v>
      </c>
      <c r="S35" s="4" t="n">
        <f aca="false">COUNTIF(Contacts!$A:$A,A35)</f>
        <v>2</v>
      </c>
      <c r="T35" s="6"/>
      <c r="U35" s="6"/>
      <c r="V35" s="6"/>
      <c r="W35" s="6"/>
      <c r="X35" s="6"/>
      <c r="Y35" s="6"/>
      <c r="Z35" s="6"/>
      <c r="AA35" s="6"/>
      <c r="AB35" s="7"/>
    </row>
    <row r="36" customFormat="false" ht="46.25" hidden="false" customHeight="false" outlineLevel="0" collapsed="false">
      <c r="A36" s="4" t="s">
        <v>385</v>
      </c>
      <c r="B36" s="4" t="s">
        <v>386</v>
      </c>
      <c r="C36" s="4" t="s">
        <v>30</v>
      </c>
      <c r="D36" s="4" t="s">
        <v>31</v>
      </c>
      <c r="E36" s="4"/>
      <c r="F36" s="4" t="s">
        <v>181</v>
      </c>
      <c r="G36" s="5" t="s">
        <v>387</v>
      </c>
      <c r="H36" s="5" t="s">
        <v>388</v>
      </c>
      <c r="I36" s="5" t="s">
        <v>389</v>
      </c>
      <c r="J36" s="5" t="s">
        <v>390</v>
      </c>
      <c r="K36" s="4" t="s">
        <v>329</v>
      </c>
      <c r="L36" s="4" t="n">
        <v>8</v>
      </c>
      <c r="M36" s="4" t="n">
        <v>2</v>
      </c>
      <c r="N36" s="4" t="s">
        <v>77</v>
      </c>
      <c r="O36" s="5" t="s">
        <v>391</v>
      </c>
      <c r="P36" s="5" t="s">
        <v>392</v>
      </c>
      <c r="Q36" s="5" t="s">
        <v>393</v>
      </c>
      <c r="R36" s="5" t="s">
        <v>394</v>
      </c>
      <c r="S36" s="4" t="n">
        <f aca="false">COUNTIF(Contacts!$A:$A,A36)</f>
        <v>2</v>
      </c>
      <c r="T36" s="6"/>
      <c r="U36" s="6"/>
      <c r="V36" s="6"/>
      <c r="W36" s="6"/>
      <c r="X36" s="6"/>
      <c r="Y36" s="6"/>
      <c r="Z36" s="6"/>
      <c r="AA36" s="6"/>
      <c r="AB36" s="7"/>
    </row>
    <row r="37" customFormat="false" ht="35.05" hidden="false" customHeight="false" outlineLevel="0" collapsed="false">
      <c r="A37" s="4" t="s">
        <v>395</v>
      </c>
      <c r="B37" s="4" t="s">
        <v>396</v>
      </c>
      <c r="C37" s="4" t="s">
        <v>48</v>
      </c>
      <c r="D37" s="4" t="s">
        <v>31</v>
      </c>
      <c r="E37" s="4"/>
      <c r="F37" s="4" t="s">
        <v>397</v>
      </c>
      <c r="G37" s="5" t="s">
        <v>398</v>
      </c>
      <c r="H37" s="5" t="s">
        <v>399</v>
      </c>
      <c r="I37" s="5" t="s">
        <v>145</v>
      </c>
      <c r="J37" s="5" t="s">
        <v>400</v>
      </c>
      <c r="K37" s="4" t="s">
        <v>329</v>
      </c>
      <c r="L37" s="4" t="n">
        <v>8</v>
      </c>
      <c r="M37" s="4" t="n">
        <v>2</v>
      </c>
      <c r="N37" s="4" t="s">
        <v>77</v>
      </c>
      <c r="O37" s="5" t="s">
        <v>401</v>
      </c>
      <c r="P37" s="5" t="s">
        <v>402</v>
      </c>
      <c r="Q37" s="5" t="s">
        <v>150</v>
      </c>
      <c r="R37" s="5" t="s">
        <v>403</v>
      </c>
      <c r="S37" s="4" t="n">
        <f aca="false">COUNTIF(Contacts!$A:$A,A37)</f>
        <v>2</v>
      </c>
      <c r="T37" s="6"/>
      <c r="U37" s="6"/>
      <c r="V37" s="6"/>
      <c r="W37" s="6"/>
      <c r="X37" s="6"/>
      <c r="Y37" s="6"/>
      <c r="Z37" s="6"/>
      <c r="AA37" s="6"/>
      <c r="AB37" s="7"/>
    </row>
    <row r="38" customFormat="false" ht="57.45" hidden="false" customHeight="false" outlineLevel="0" collapsed="false">
      <c r="A38" s="4" t="s">
        <v>404</v>
      </c>
      <c r="B38" s="4" t="s">
        <v>405</v>
      </c>
      <c r="C38" s="4" t="s">
        <v>83</v>
      </c>
      <c r="D38" s="4" t="s">
        <v>31</v>
      </c>
      <c r="E38" s="4"/>
      <c r="F38" s="4" t="s">
        <v>406</v>
      </c>
      <c r="G38" s="5" t="s">
        <v>407</v>
      </c>
      <c r="H38" s="5" t="s">
        <v>408</v>
      </c>
      <c r="I38" s="5" t="s">
        <v>174</v>
      </c>
      <c r="J38" s="5" t="s">
        <v>409</v>
      </c>
      <c r="K38" s="4" t="s">
        <v>329</v>
      </c>
      <c r="L38" s="4" t="n">
        <v>8</v>
      </c>
      <c r="M38" s="4" t="n">
        <v>2</v>
      </c>
      <c r="N38" s="4" t="s">
        <v>77</v>
      </c>
      <c r="O38" s="5" t="s">
        <v>410</v>
      </c>
      <c r="P38" s="5" t="s">
        <v>411</v>
      </c>
      <c r="Q38" s="5" t="s">
        <v>412</v>
      </c>
      <c r="R38" s="5" t="s">
        <v>413</v>
      </c>
      <c r="S38" s="4" t="n">
        <f aca="false">COUNTIF(Contacts!$A:$A,A38)</f>
        <v>2</v>
      </c>
      <c r="T38" s="6"/>
      <c r="U38" s="6"/>
      <c r="V38" s="6"/>
      <c r="W38" s="6"/>
      <c r="X38" s="6"/>
      <c r="Y38" s="6"/>
      <c r="Z38" s="6"/>
      <c r="AA38" s="6"/>
      <c r="AB38" s="7"/>
    </row>
    <row r="39" customFormat="false" ht="57.45" hidden="false" customHeight="false" outlineLevel="0" collapsed="false">
      <c r="A39" s="4" t="s">
        <v>414</v>
      </c>
      <c r="B39" s="4" t="s">
        <v>415</v>
      </c>
      <c r="C39" s="4" t="s">
        <v>336</v>
      </c>
      <c r="D39" s="4" t="s">
        <v>93</v>
      </c>
      <c r="E39" s="4"/>
      <c r="F39" s="4" t="s">
        <v>416</v>
      </c>
      <c r="G39" s="5" t="s">
        <v>417</v>
      </c>
      <c r="H39" s="5" t="s">
        <v>418</v>
      </c>
      <c r="I39" s="5" t="s">
        <v>205</v>
      </c>
      <c r="J39" s="5" t="s">
        <v>419</v>
      </c>
      <c r="K39" s="4"/>
      <c r="L39" s="4" t="n">
        <v>8</v>
      </c>
      <c r="M39" s="4" t="n">
        <v>2</v>
      </c>
      <c r="N39" s="4" t="s">
        <v>33</v>
      </c>
      <c r="O39" s="5" t="s">
        <v>420</v>
      </c>
      <c r="P39" s="5" t="s">
        <v>421</v>
      </c>
      <c r="Q39" s="5"/>
      <c r="R39" s="5" t="s">
        <v>422</v>
      </c>
      <c r="S39" s="4" t="n">
        <f aca="false">COUNTIF(Contacts!$A:$A,A39)</f>
        <v>2</v>
      </c>
      <c r="T39" s="6"/>
      <c r="U39" s="6"/>
      <c r="V39" s="6"/>
      <c r="W39" s="6"/>
      <c r="X39" s="6"/>
      <c r="Y39" s="6"/>
      <c r="Z39" s="6"/>
      <c r="AA39" s="6"/>
      <c r="AB39" s="7"/>
    </row>
    <row r="40" customFormat="false" ht="68.65" hidden="false" customHeight="false" outlineLevel="0" collapsed="false">
      <c r="A40" s="4" t="s">
        <v>423</v>
      </c>
      <c r="B40" s="4" t="s">
        <v>424</v>
      </c>
      <c r="C40" s="4" t="s">
        <v>30</v>
      </c>
      <c r="D40" s="4" t="s">
        <v>93</v>
      </c>
      <c r="E40" s="4"/>
      <c r="F40" s="4" t="s">
        <v>425</v>
      </c>
      <c r="G40" s="5" t="s">
        <v>426</v>
      </c>
      <c r="H40" s="5" t="s">
        <v>427</v>
      </c>
      <c r="I40" s="5" t="s">
        <v>428</v>
      </c>
      <c r="J40" s="5" t="s">
        <v>429</v>
      </c>
      <c r="K40" s="4"/>
      <c r="L40" s="4" t="n">
        <v>8</v>
      </c>
      <c r="M40" s="4" t="n">
        <v>2</v>
      </c>
      <c r="N40" s="4" t="s">
        <v>33</v>
      </c>
      <c r="O40" s="5" t="s">
        <v>430</v>
      </c>
      <c r="P40" s="5" t="s">
        <v>431</v>
      </c>
      <c r="Q40" s="5" t="s">
        <v>432</v>
      </c>
      <c r="R40" s="5" t="s">
        <v>433</v>
      </c>
      <c r="S40" s="4" t="n">
        <f aca="false">COUNTIF(Contacts!$A:$A,A40)</f>
        <v>2</v>
      </c>
      <c r="T40" s="6"/>
      <c r="U40" s="6"/>
      <c r="V40" s="6"/>
      <c r="W40" s="6"/>
      <c r="X40" s="6"/>
      <c r="Y40" s="6"/>
      <c r="Z40" s="6"/>
      <c r="AA40" s="6"/>
      <c r="AB40" s="7"/>
    </row>
    <row r="41" customFormat="false" ht="79.85" hidden="false" customHeight="false" outlineLevel="0" collapsed="false">
      <c r="A41" s="4" t="s">
        <v>434</v>
      </c>
      <c r="B41" s="4" t="s">
        <v>435</v>
      </c>
      <c r="C41" s="4" t="s">
        <v>436</v>
      </c>
      <c r="D41" s="4" t="s">
        <v>93</v>
      </c>
      <c r="E41" s="4"/>
      <c r="F41" s="4" t="s">
        <v>192</v>
      </c>
      <c r="G41" s="5" t="s">
        <v>437</v>
      </c>
      <c r="H41" s="5" t="s">
        <v>438</v>
      </c>
      <c r="I41" s="5" t="s">
        <v>439</v>
      </c>
      <c r="J41" s="5" t="s">
        <v>440</v>
      </c>
      <c r="K41" s="4"/>
      <c r="L41" s="4" t="n">
        <v>8</v>
      </c>
      <c r="M41" s="4" t="n">
        <v>2</v>
      </c>
      <c r="N41" s="4" t="s">
        <v>33</v>
      </c>
      <c r="O41" s="5" t="s">
        <v>441</v>
      </c>
      <c r="P41" s="5" t="s">
        <v>442</v>
      </c>
      <c r="Q41" s="5" t="s">
        <v>443</v>
      </c>
      <c r="R41" s="5" t="s">
        <v>444</v>
      </c>
      <c r="S41" s="4" t="n">
        <f aca="false">COUNTIF(Contacts!$A:$A,A41)</f>
        <v>2</v>
      </c>
      <c r="T41" s="6"/>
      <c r="U41" s="6"/>
      <c r="V41" s="6"/>
      <c r="W41" s="6"/>
      <c r="X41" s="6"/>
      <c r="Y41" s="6"/>
      <c r="Z41" s="6"/>
      <c r="AA41" s="6"/>
      <c r="AB41" s="7"/>
    </row>
    <row r="42" customFormat="false" ht="46.25" hidden="false" customHeight="false" outlineLevel="0" collapsed="false">
      <c r="A42" s="4" t="s">
        <v>445</v>
      </c>
      <c r="B42" s="4" t="s">
        <v>446</v>
      </c>
      <c r="C42" s="4" t="s">
        <v>48</v>
      </c>
      <c r="D42" s="4" t="s">
        <v>93</v>
      </c>
      <c r="E42" s="4"/>
      <c r="F42" s="4" t="s">
        <v>447</v>
      </c>
      <c r="G42" s="5" t="s">
        <v>448</v>
      </c>
      <c r="H42" s="5" t="s">
        <v>449</v>
      </c>
      <c r="I42" s="5" t="s">
        <v>205</v>
      </c>
      <c r="J42" s="5" t="s">
        <v>450</v>
      </c>
      <c r="K42" s="4"/>
      <c r="L42" s="4" t="n">
        <v>8</v>
      </c>
      <c r="M42" s="4" t="n">
        <v>2</v>
      </c>
      <c r="N42" s="4" t="s">
        <v>33</v>
      </c>
      <c r="O42" s="5" t="s">
        <v>451</v>
      </c>
      <c r="P42" s="5" t="s">
        <v>452</v>
      </c>
      <c r="Q42" s="5" t="s">
        <v>80</v>
      </c>
      <c r="R42" s="5" t="s">
        <v>453</v>
      </c>
      <c r="S42" s="4" t="n">
        <f aca="false">COUNTIF(Contacts!$A:$A,A42)</f>
        <v>2</v>
      </c>
      <c r="T42" s="6"/>
      <c r="U42" s="6"/>
      <c r="V42" s="6"/>
      <c r="W42" s="6"/>
      <c r="X42" s="6"/>
      <c r="Y42" s="6"/>
      <c r="Z42" s="6"/>
      <c r="AA42" s="6"/>
      <c r="AB42" s="7"/>
    </row>
    <row r="43" customFormat="false" ht="91" hidden="false" customHeight="false" outlineLevel="0" collapsed="false">
      <c r="A43" s="4" t="s">
        <v>454</v>
      </c>
      <c r="B43" s="4" t="s">
        <v>455</v>
      </c>
      <c r="C43" s="4" t="s">
        <v>48</v>
      </c>
      <c r="D43" s="4" t="s">
        <v>93</v>
      </c>
      <c r="E43" s="4"/>
      <c r="F43" s="4" t="s">
        <v>456</v>
      </c>
      <c r="G43" s="5" t="s">
        <v>457</v>
      </c>
      <c r="H43" s="5" t="s">
        <v>458</v>
      </c>
      <c r="I43" s="5" t="s">
        <v>459</v>
      </c>
      <c r="J43" s="5" t="s">
        <v>460</v>
      </c>
      <c r="K43" s="4"/>
      <c r="L43" s="4" t="n">
        <v>8</v>
      </c>
      <c r="M43" s="4" t="n">
        <v>2</v>
      </c>
      <c r="N43" s="4" t="s">
        <v>33</v>
      </c>
      <c r="O43" s="5" t="s">
        <v>461</v>
      </c>
      <c r="P43" s="5" t="s">
        <v>462</v>
      </c>
      <c r="Q43" s="5" t="s">
        <v>463</v>
      </c>
      <c r="R43" s="5" t="s">
        <v>464</v>
      </c>
      <c r="S43" s="4" t="n">
        <f aca="false">COUNTIF(Contacts!$A:$A,A43)</f>
        <v>2</v>
      </c>
      <c r="T43" s="6"/>
      <c r="U43" s="6"/>
      <c r="V43" s="6"/>
      <c r="W43" s="6"/>
      <c r="X43" s="6"/>
      <c r="Y43" s="6"/>
      <c r="Z43" s="6"/>
      <c r="AA43" s="6"/>
      <c r="AB43" s="7"/>
    </row>
    <row r="44" customFormat="false" ht="102.2" hidden="false" customHeight="false" outlineLevel="0" collapsed="false">
      <c r="A44" s="4" t="s">
        <v>465</v>
      </c>
      <c r="B44" s="4" t="s">
        <v>466</v>
      </c>
      <c r="C44" s="4" t="s">
        <v>305</v>
      </c>
      <c r="D44" s="4" t="s">
        <v>93</v>
      </c>
      <c r="E44" s="4"/>
      <c r="F44" s="4" t="s">
        <v>467</v>
      </c>
      <c r="G44" s="5" t="s">
        <v>468</v>
      </c>
      <c r="H44" s="5" t="s">
        <v>469</v>
      </c>
      <c r="I44" s="5" t="s">
        <v>227</v>
      </c>
      <c r="J44" s="5" t="s">
        <v>470</v>
      </c>
      <c r="K44" s="4"/>
      <c r="L44" s="4" t="n">
        <v>8</v>
      </c>
      <c r="M44" s="4" t="n">
        <v>2</v>
      </c>
      <c r="N44" s="4" t="s">
        <v>33</v>
      </c>
      <c r="O44" s="5" t="s">
        <v>471</v>
      </c>
      <c r="P44" s="5" t="s">
        <v>472</v>
      </c>
      <c r="Q44" s="5"/>
      <c r="R44" s="5" t="s">
        <v>473</v>
      </c>
      <c r="S44" s="4" t="n">
        <f aca="false">COUNTIF(Contacts!$A:$A,A44)</f>
        <v>2</v>
      </c>
      <c r="T44" s="6"/>
      <c r="U44" s="6"/>
      <c r="V44" s="6"/>
      <c r="W44" s="6"/>
      <c r="X44" s="6"/>
      <c r="Y44" s="6"/>
      <c r="Z44" s="6"/>
      <c r="AA44" s="6"/>
      <c r="AB44" s="7"/>
    </row>
    <row r="45" customFormat="false" ht="46.25" hidden="false" customHeight="false" outlineLevel="0" collapsed="false">
      <c r="A45" s="4" t="s">
        <v>474</v>
      </c>
      <c r="B45" s="4" t="s">
        <v>475</v>
      </c>
      <c r="C45" s="4" t="s">
        <v>336</v>
      </c>
      <c r="D45" s="4" t="s">
        <v>93</v>
      </c>
      <c r="E45" s="4"/>
      <c r="F45" s="4" t="s">
        <v>476</v>
      </c>
      <c r="G45" s="5" t="s">
        <v>477</v>
      </c>
      <c r="H45" s="5" t="s">
        <v>478</v>
      </c>
      <c r="I45" s="5" t="s">
        <v>205</v>
      </c>
      <c r="J45" s="5" t="s">
        <v>479</v>
      </c>
      <c r="K45" s="4"/>
      <c r="L45" s="4" t="n">
        <v>8</v>
      </c>
      <c r="M45" s="4" t="n">
        <v>2</v>
      </c>
      <c r="N45" s="4" t="s">
        <v>33</v>
      </c>
      <c r="O45" s="5" t="s">
        <v>480</v>
      </c>
      <c r="P45" s="5" t="s">
        <v>481</v>
      </c>
      <c r="Q45" s="5" t="s">
        <v>80</v>
      </c>
      <c r="R45" s="5" t="s">
        <v>482</v>
      </c>
      <c r="S45" s="4" t="n">
        <f aca="false">COUNTIF(Contacts!$A:$A,A45)</f>
        <v>2</v>
      </c>
      <c r="T45" s="6"/>
      <c r="U45" s="6"/>
      <c r="V45" s="6"/>
      <c r="W45" s="6"/>
      <c r="X45" s="6"/>
      <c r="Y45" s="6"/>
      <c r="Z45" s="6"/>
      <c r="AA45" s="6"/>
      <c r="AB45" s="7"/>
    </row>
    <row r="46" customFormat="false" ht="91" hidden="false" customHeight="false" outlineLevel="0" collapsed="false">
      <c r="A46" s="4" t="s">
        <v>483</v>
      </c>
      <c r="B46" s="4" t="s">
        <v>484</v>
      </c>
      <c r="C46" s="4" t="s">
        <v>191</v>
      </c>
      <c r="D46" s="4" t="s">
        <v>93</v>
      </c>
      <c r="E46" s="4"/>
      <c r="F46" s="4" t="s">
        <v>485</v>
      </c>
      <c r="G46" s="5" t="s">
        <v>486</v>
      </c>
      <c r="H46" s="5" t="s">
        <v>487</v>
      </c>
      <c r="I46" s="5" t="s">
        <v>488</v>
      </c>
      <c r="J46" s="5" t="s">
        <v>489</v>
      </c>
      <c r="K46" s="4"/>
      <c r="L46" s="4" t="n">
        <v>8</v>
      </c>
      <c r="M46" s="4" t="n">
        <v>2</v>
      </c>
      <c r="N46" s="4" t="s">
        <v>33</v>
      </c>
      <c r="O46" s="5" t="s">
        <v>490</v>
      </c>
      <c r="P46" s="5" t="s">
        <v>491</v>
      </c>
      <c r="Q46" s="5" t="s">
        <v>492</v>
      </c>
      <c r="R46" s="5" t="s">
        <v>493</v>
      </c>
      <c r="S46" s="4" t="n">
        <f aca="false">COUNTIF(Contacts!$A:$A,A46)</f>
        <v>1</v>
      </c>
      <c r="T46" s="6"/>
      <c r="U46" s="6"/>
      <c r="V46" s="6"/>
      <c r="W46" s="6"/>
      <c r="X46" s="6"/>
      <c r="Y46" s="6"/>
      <c r="Z46" s="6"/>
      <c r="AA46" s="6"/>
      <c r="AB46" s="7"/>
    </row>
    <row r="47" customFormat="false" ht="46.25" hidden="false" customHeight="false" outlineLevel="0" collapsed="false">
      <c r="A47" s="4" t="s">
        <v>494</v>
      </c>
      <c r="B47" s="4" t="s">
        <v>495</v>
      </c>
      <c r="C47" s="4" t="s">
        <v>113</v>
      </c>
      <c r="D47" s="4" t="s">
        <v>243</v>
      </c>
      <c r="E47" s="4"/>
      <c r="F47" s="4" t="s">
        <v>496</v>
      </c>
      <c r="G47" s="5" t="s">
        <v>497</v>
      </c>
      <c r="H47" s="5" t="s">
        <v>498</v>
      </c>
      <c r="I47" s="5"/>
      <c r="J47" s="5" t="s">
        <v>499</v>
      </c>
      <c r="K47" s="4"/>
      <c r="L47" s="4" t="n">
        <v>8</v>
      </c>
      <c r="M47" s="4" t="n">
        <v>2</v>
      </c>
      <c r="N47" s="4" t="s">
        <v>77</v>
      </c>
      <c r="O47" s="5" t="s">
        <v>500</v>
      </c>
      <c r="P47" s="5" t="s">
        <v>501</v>
      </c>
      <c r="Q47" s="5" t="s">
        <v>502</v>
      </c>
      <c r="R47" s="5" t="s">
        <v>503</v>
      </c>
      <c r="S47" s="4" t="n">
        <f aca="false">COUNTIF(Contacts!$A:$A,A47)</f>
        <v>2</v>
      </c>
      <c r="T47" s="6"/>
      <c r="U47" s="6"/>
      <c r="V47" s="6"/>
      <c r="W47" s="6"/>
      <c r="X47" s="6"/>
      <c r="Y47" s="6"/>
      <c r="Z47" s="6"/>
      <c r="AA47" s="6"/>
      <c r="AB47" s="7"/>
    </row>
    <row r="48" customFormat="false" ht="68.65" hidden="false" customHeight="false" outlineLevel="0" collapsed="false">
      <c r="A48" s="4" t="s">
        <v>504</v>
      </c>
      <c r="B48" s="4" t="s">
        <v>505</v>
      </c>
      <c r="C48" s="4" t="s">
        <v>113</v>
      </c>
      <c r="D48" s="4" t="s">
        <v>243</v>
      </c>
      <c r="E48" s="4"/>
      <c r="F48" s="4" t="s">
        <v>506</v>
      </c>
      <c r="G48" s="5" t="s">
        <v>507</v>
      </c>
      <c r="H48" s="5" t="s">
        <v>508</v>
      </c>
      <c r="I48" s="5"/>
      <c r="J48" s="5" t="s">
        <v>509</v>
      </c>
      <c r="K48" s="4"/>
      <c r="L48" s="4" t="n">
        <v>8</v>
      </c>
      <c r="M48" s="4" t="n">
        <v>2</v>
      </c>
      <c r="N48" s="4" t="s">
        <v>77</v>
      </c>
      <c r="O48" s="5" t="s">
        <v>510</v>
      </c>
      <c r="P48" s="5" t="s">
        <v>511</v>
      </c>
      <c r="Q48" s="5"/>
      <c r="R48" s="5" t="s">
        <v>512</v>
      </c>
      <c r="S48" s="4" t="n">
        <f aca="false">COUNTIF(Contacts!$A:$A,A48)</f>
        <v>1</v>
      </c>
      <c r="T48" s="6"/>
      <c r="U48" s="6"/>
      <c r="V48" s="6"/>
      <c r="W48" s="6"/>
      <c r="X48" s="6"/>
      <c r="Y48" s="6"/>
      <c r="Z48" s="6"/>
      <c r="AA48" s="6"/>
      <c r="AB48" s="7"/>
    </row>
    <row r="49" customFormat="false" ht="35.05" hidden="false" customHeight="false" outlineLevel="0" collapsed="false">
      <c r="A49" s="4" t="s">
        <v>513</v>
      </c>
      <c r="B49" s="4" t="s">
        <v>514</v>
      </c>
      <c r="C49" s="4" t="s">
        <v>515</v>
      </c>
      <c r="D49" s="4" t="s">
        <v>243</v>
      </c>
      <c r="E49" s="4"/>
      <c r="F49" s="4" t="s">
        <v>516</v>
      </c>
      <c r="G49" s="5" t="s">
        <v>517</v>
      </c>
      <c r="H49" s="5" t="s">
        <v>518</v>
      </c>
      <c r="I49" s="5"/>
      <c r="J49" s="5" t="s">
        <v>519</v>
      </c>
      <c r="K49" s="4"/>
      <c r="L49" s="4" t="n">
        <v>8</v>
      </c>
      <c r="M49" s="4" t="n">
        <v>2</v>
      </c>
      <c r="N49" s="4" t="s">
        <v>77</v>
      </c>
      <c r="O49" s="5" t="s">
        <v>520</v>
      </c>
      <c r="P49" s="5" t="s">
        <v>521</v>
      </c>
      <c r="Q49" s="5"/>
      <c r="R49" s="5" t="s">
        <v>522</v>
      </c>
      <c r="S49" s="4" t="n">
        <f aca="false">COUNTIF(Contacts!$A:$A,A49)</f>
        <v>1</v>
      </c>
      <c r="T49" s="6"/>
      <c r="U49" s="6"/>
      <c r="V49" s="6"/>
      <c r="W49" s="6"/>
      <c r="X49" s="6"/>
      <c r="Y49" s="6"/>
      <c r="Z49" s="6"/>
      <c r="AA49" s="6"/>
      <c r="AB49" s="7"/>
    </row>
    <row r="50" customFormat="false" ht="46.25" hidden="false" customHeight="false" outlineLevel="0" collapsed="false">
      <c r="A50" s="4" t="s">
        <v>523</v>
      </c>
      <c r="B50" s="4" t="s">
        <v>524</v>
      </c>
      <c r="C50" s="4" t="s">
        <v>113</v>
      </c>
      <c r="D50" s="4" t="s">
        <v>243</v>
      </c>
      <c r="E50" s="4"/>
      <c r="F50" s="4" t="s">
        <v>525</v>
      </c>
      <c r="G50" s="5" t="s">
        <v>526</v>
      </c>
      <c r="H50" s="5" t="s">
        <v>527</v>
      </c>
      <c r="I50" s="5"/>
      <c r="J50" s="5" t="s">
        <v>528</v>
      </c>
      <c r="K50" s="4"/>
      <c r="L50" s="4" t="n">
        <v>8</v>
      </c>
      <c r="M50" s="4" t="n">
        <v>2</v>
      </c>
      <c r="N50" s="4" t="s">
        <v>77</v>
      </c>
      <c r="O50" s="5" t="s">
        <v>529</v>
      </c>
      <c r="P50" s="5" t="s">
        <v>530</v>
      </c>
      <c r="Q50" s="5"/>
      <c r="R50" s="5" t="s">
        <v>531</v>
      </c>
      <c r="S50" s="4" t="n">
        <f aca="false">COUNTIF(Contacts!$A:$A,A50)</f>
        <v>2</v>
      </c>
      <c r="T50" s="6"/>
      <c r="U50" s="6"/>
      <c r="V50" s="6"/>
      <c r="W50" s="6"/>
      <c r="X50" s="6"/>
      <c r="Y50" s="6"/>
      <c r="Z50" s="6"/>
      <c r="AA50" s="6"/>
      <c r="AB50" s="7"/>
    </row>
    <row r="51" customFormat="false" ht="57.45" hidden="false" customHeight="false" outlineLevel="0" collapsed="false">
      <c r="A51" s="4" t="s">
        <v>532</v>
      </c>
      <c r="B51" s="4" t="s">
        <v>533</v>
      </c>
      <c r="C51" s="4" t="s">
        <v>305</v>
      </c>
      <c r="D51" s="4" t="s">
        <v>243</v>
      </c>
      <c r="E51" s="4"/>
      <c r="F51" s="4" t="s">
        <v>534</v>
      </c>
      <c r="G51" s="5" t="s">
        <v>535</v>
      </c>
      <c r="H51" s="5" t="s">
        <v>536</v>
      </c>
      <c r="I51" s="5"/>
      <c r="J51" s="5" t="s">
        <v>537</v>
      </c>
      <c r="K51" s="4"/>
      <c r="L51" s="4" t="n">
        <v>8</v>
      </c>
      <c r="M51" s="4" t="n">
        <v>2</v>
      </c>
      <c r="N51" s="4" t="s">
        <v>77</v>
      </c>
      <c r="O51" s="5" t="s">
        <v>538</v>
      </c>
      <c r="P51" s="5" t="s">
        <v>539</v>
      </c>
      <c r="Q51" s="5"/>
      <c r="R51" s="5" t="s">
        <v>540</v>
      </c>
      <c r="S51" s="4" t="n">
        <f aca="false">COUNTIF(Contacts!$A:$A,A51)</f>
        <v>2</v>
      </c>
      <c r="T51" s="6"/>
      <c r="U51" s="6"/>
      <c r="V51" s="6"/>
      <c r="W51" s="6"/>
      <c r="X51" s="6"/>
      <c r="Y51" s="6"/>
      <c r="Z51" s="6"/>
      <c r="AA51" s="6"/>
      <c r="AB51" s="7"/>
    </row>
    <row r="52" customFormat="false" ht="46.25" hidden="false" customHeight="false" outlineLevel="0" collapsed="false">
      <c r="A52" s="4" t="s">
        <v>541</v>
      </c>
      <c r="B52" s="4" t="s">
        <v>542</v>
      </c>
      <c r="C52" s="4" t="s">
        <v>113</v>
      </c>
      <c r="D52" s="4" t="s">
        <v>243</v>
      </c>
      <c r="E52" s="4"/>
      <c r="F52" s="4" t="s">
        <v>543</v>
      </c>
      <c r="G52" s="5" t="s">
        <v>544</v>
      </c>
      <c r="H52" s="5" t="s">
        <v>545</v>
      </c>
      <c r="I52" s="5"/>
      <c r="J52" s="5" t="s">
        <v>546</v>
      </c>
      <c r="K52" s="4"/>
      <c r="L52" s="4" t="n">
        <v>8</v>
      </c>
      <c r="M52" s="4" t="n">
        <v>2</v>
      </c>
      <c r="N52" s="4" t="s">
        <v>77</v>
      </c>
      <c r="O52" s="5" t="s">
        <v>547</v>
      </c>
      <c r="P52" s="5" t="s">
        <v>548</v>
      </c>
      <c r="Q52" s="5" t="s">
        <v>549</v>
      </c>
      <c r="R52" s="5" t="s">
        <v>550</v>
      </c>
      <c r="S52" s="4" t="n">
        <f aca="false">COUNTIF(Contacts!$A:$A,A52)</f>
        <v>2</v>
      </c>
      <c r="T52" s="6"/>
      <c r="U52" s="6"/>
      <c r="V52" s="6"/>
      <c r="W52" s="6"/>
      <c r="X52" s="6"/>
      <c r="Y52" s="6"/>
      <c r="Z52" s="6"/>
      <c r="AA52" s="6"/>
      <c r="AB52" s="7"/>
    </row>
    <row r="53" customFormat="false" ht="46.25" hidden="false" customHeight="false" outlineLevel="0" collapsed="false">
      <c r="A53" s="4" t="s">
        <v>551</v>
      </c>
      <c r="B53" s="4" t="s">
        <v>552</v>
      </c>
      <c r="C53" s="4" t="s">
        <v>113</v>
      </c>
      <c r="D53" s="4" t="s">
        <v>243</v>
      </c>
      <c r="E53" s="4"/>
      <c r="F53" s="4" t="s">
        <v>553</v>
      </c>
      <c r="G53" s="5" t="s">
        <v>554</v>
      </c>
      <c r="H53" s="5" t="s">
        <v>555</v>
      </c>
      <c r="I53" s="5"/>
      <c r="J53" s="5" t="s">
        <v>556</v>
      </c>
      <c r="K53" s="4"/>
      <c r="L53" s="4" t="n">
        <v>8</v>
      </c>
      <c r="M53" s="4" t="n">
        <v>2</v>
      </c>
      <c r="N53" s="4" t="s">
        <v>77</v>
      </c>
      <c r="O53" s="5" t="s">
        <v>557</v>
      </c>
      <c r="P53" s="5" t="s">
        <v>558</v>
      </c>
      <c r="Q53" s="5" t="s">
        <v>80</v>
      </c>
      <c r="R53" s="5" t="s">
        <v>559</v>
      </c>
      <c r="S53" s="4" t="n">
        <f aca="false">COUNTIF(Contacts!$A:$A,A53)</f>
        <v>2</v>
      </c>
      <c r="T53" s="6"/>
      <c r="U53" s="6"/>
      <c r="V53" s="6"/>
      <c r="W53" s="6"/>
      <c r="X53" s="6"/>
      <c r="Y53" s="6"/>
      <c r="Z53" s="6"/>
      <c r="AA53" s="6"/>
      <c r="AB53" s="7"/>
    </row>
    <row r="54" customFormat="false" ht="46.25" hidden="false" customHeight="false" outlineLevel="0" collapsed="false">
      <c r="A54" s="4" t="s">
        <v>560</v>
      </c>
      <c r="B54" s="4" t="s">
        <v>561</v>
      </c>
      <c r="C54" s="4" t="s">
        <v>515</v>
      </c>
      <c r="D54" s="4" t="s">
        <v>243</v>
      </c>
      <c r="E54" s="4"/>
      <c r="F54" s="4" t="s">
        <v>562</v>
      </c>
      <c r="G54" s="5" t="s">
        <v>563</v>
      </c>
      <c r="H54" s="5" t="s">
        <v>564</v>
      </c>
      <c r="I54" s="5"/>
      <c r="J54" s="5" t="s">
        <v>565</v>
      </c>
      <c r="K54" s="4"/>
      <c r="L54" s="4" t="n">
        <v>8</v>
      </c>
      <c r="M54" s="4" t="n">
        <v>2</v>
      </c>
      <c r="N54" s="4" t="s">
        <v>77</v>
      </c>
      <c r="O54" s="5" t="s">
        <v>566</v>
      </c>
      <c r="P54" s="5" t="s">
        <v>567</v>
      </c>
      <c r="Q54" s="5"/>
      <c r="R54" s="5" t="s">
        <v>568</v>
      </c>
      <c r="S54" s="4" t="n">
        <f aca="false">COUNTIF(Contacts!$A:$A,A54)</f>
        <v>1</v>
      </c>
      <c r="T54" s="6"/>
      <c r="U54" s="6"/>
      <c r="V54" s="6"/>
      <c r="W54" s="6"/>
      <c r="X54" s="6"/>
      <c r="Y54" s="6"/>
      <c r="Z54" s="6"/>
      <c r="AA54" s="6"/>
      <c r="AB54" s="7"/>
    </row>
    <row r="55" customFormat="false" ht="57.45" hidden="false" customHeight="false" outlineLevel="0" collapsed="false">
      <c r="A55" s="4" t="s">
        <v>569</v>
      </c>
      <c r="B55" s="4" t="s">
        <v>570</v>
      </c>
      <c r="C55" s="4" t="s">
        <v>571</v>
      </c>
      <c r="D55" s="4" t="s">
        <v>49</v>
      </c>
      <c r="E55" s="4"/>
      <c r="F55" s="4" t="s">
        <v>271</v>
      </c>
      <c r="G55" s="5" t="s">
        <v>572</v>
      </c>
      <c r="H55" s="5" t="s">
        <v>573</v>
      </c>
      <c r="I55" s="5" t="s">
        <v>145</v>
      </c>
      <c r="J55" s="5" t="s">
        <v>574</v>
      </c>
      <c r="K55" s="4" t="s">
        <v>575</v>
      </c>
      <c r="L55" s="4" t="n">
        <v>7</v>
      </c>
      <c r="M55" s="4" t="n">
        <v>3</v>
      </c>
      <c r="N55" s="4" t="s">
        <v>33</v>
      </c>
      <c r="O55" s="5" t="s">
        <v>576</v>
      </c>
      <c r="P55" s="5" t="s">
        <v>577</v>
      </c>
      <c r="Q55" s="5" t="s">
        <v>578</v>
      </c>
      <c r="R55" s="5" t="s">
        <v>579</v>
      </c>
      <c r="S55" s="4" t="n">
        <f aca="false">COUNTIF(Contacts!$A:$A,A55)</f>
        <v>2</v>
      </c>
      <c r="T55" s="6"/>
      <c r="U55" s="6"/>
      <c r="V55" s="6"/>
      <c r="W55" s="6"/>
      <c r="X55" s="6"/>
      <c r="Y55" s="6"/>
      <c r="Z55" s="6"/>
      <c r="AA55" s="6"/>
      <c r="AB55" s="7"/>
    </row>
    <row r="56" customFormat="false" ht="46.25" hidden="false" customHeight="false" outlineLevel="0" collapsed="false">
      <c r="A56" s="4" t="s">
        <v>580</v>
      </c>
      <c r="B56" s="4" t="s">
        <v>581</v>
      </c>
      <c r="C56" s="4" t="s">
        <v>30</v>
      </c>
      <c r="D56" s="4" t="s">
        <v>49</v>
      </c>
      <c r="E56" s="4"/>
      <c r="F56" s="4" t="s">
        <v>582</v>
      </c>
      <c r="G56" s="5" t="s">
        <v>583</v>
      </c>
      <c r="H56" s="5" t="s">
        <v>584</v>
      </c>
      <c r="I56" s="5" t="s">
        <v>174</v>
      </c>
      <c r="J56" s="5" t="s">
        <v>585</v>
      </c>
      <c r="K56" s="4" t="s">
        <v>586</v>
      </c>
      <c r="L56" s="4" t="n">
        <v>7</v>
      </c>
      <c r="M56" s="4" t="n">
        <v>3</v>
      </c>
      <c r="N56" s="4" t="s">
        <v>33</v>
      </c>
      <c r="O56" s="5" t="s">
        <v>587</v>
      </c>
      <c r="P56" s="5" t="s">
        <v>588</v>
      </c>
      <c r="Q56" s="5" t="s">
        <v>589</v>
      </c>
      <c r="R56" s="5" t="s">
        <v>590</v>
      </c>
      <c r="S56" s="4" t="n">
        <f aca="false">COUNTIF(Contacts!$A:$A,A56)</f>
        <v>2</v>
      </c>
      <c r="T56" s="6"/>
      <c r="U56" s="6"/>
      <c r="V56" s="6"/>
      <c r="W56" s="6"/>
      <c r="X56" s="6"/>
      <c r="Y56" s="6"/>
      <c r="Z56" s="6"/>
      <c r="AA56" s="6"/>
      <c r="AB56" s="7"/>
    </row>
    <row r="57" customFormat="false" ht="46.25" hidden="false" customHeight="false" outlineLevel="0" collapsed="false">
      <c r="A57" s="4" t="s">
        <v>591</v>
      </c>
      <c r="B57" s="4" t="s">
        <v>591</v>
      </c>
      <c r="C57" s="4" t="s">
        <v>592</v>
      </c>
      <c r="D57" s="4" t="s">
        <v>49</v>
      </c>
      <c r="E57" s="4"/>
      <c r="F57" s="4" t="s">
        <v>593</v>
      </c>
      <c r="G57" s="5" t="s">
        <v>594</v>
      </c>
      <c r="H57" s="5" t="s">
        <v>595</v>
      </c>
      <c r="I57" s="5" t="s">
        <v>596</v>
      </c>
      <c r="J57" s="5" t="s">
        <v>597</v>
      </c>
      <c r="K57" s="4" t="s">
        <v>575</v>
      </c>
      <c r="L57" s="4" t="n">
        <v>7</v>
      </c>
      <c r="M57" s="4" t="n">
        <v>3</v>
      </c>
      <c r="N57" s="4" t="s">
        <v>33</v>
      </c>
      <c r="O57" s="5" t="s">
        <v>598</v>
      </c>
      <c r="P57" s="5" t="s">
        <v>599</v>
      </c>
      <c r="Q57" s="5" t="s">
        <v>600</v>
      </c>
      <c r="R57" s="5" t="s">
        <v>601</v>
      </c>
      <c r="S57" s="4" t="n">
        <f aca="false">COUNTIF(Contacts!$A:$A,A57)</f>
        <v>2</v>
      </c>
      <c r="T57" s="6"/>
      <c r="U57" s="6"/>
      <c r="V57" s="6"/>
      <c r="W57" s="6"/>
      <c r="X57" s="6"/>
      <c r="Y57" s="6"/>
      <c r="Z57" s="6"/>
      <c r="AA57" s="6"/>
      <c r="AB57" s="7"/>
    </row>
    <row r="58" customFormat="false" ht="46.25" hidden="false" customHeight="false" outlineLevel="0" collapsed="false">
      <c r="A58" s="4" t="s">
        <v>602</v>
      </c>
      <c r="B58" s="4" t="s">
        <v>603</v>
      </c>
      <c r="C58" s="4" t="s">
        <v>48</v>
      </c>
      <c r="D58" s="4" t="s">
        <v>49</v>
      </c>
      <c r="E58" s="4"/>
      <c r="F58" s="4" t="s">
        <v>604</v>
      </c>
      <c r="G58" s="5" t="s">
        <v>605</v>
      </c>
      <c r="H58" s="5" t="s">
        <v>606</v>
      </c>
      <c r="I58" s="5" t="s">
        <v>145</v>
      </c>
      <c r="J58" s="5" t="s">
        <v>607</v>
      </c>
      <c r="K58" s="4" t="s">
        <v>608</v>
      </c>
      <c r="L58" s="4" t="n">
        <v>7</v>
      </c>
      <c r="M58" s="4" t="n">
        <v>3</v>
      </c>
      <c r="N58" s="4" t="s">
        <v>33</v>
      </c>
      <c r="O58" s="5" t="s">
        <v>609</v>
      </c>
      <c r="P58" s="5" t="s">
        <v>610</v>
      </c>
      <c r="Q58" s="5" t="s">
        <v>150</v>
      </c>
      <c r="R58" s="5" t="s">
        <v>611</v>
      </c>
      <c r="S58" s="4" t="n">
        <f aca="false">COUNTIF(Contacts!$A:$A,A58)</f>
        <v>2</v>
      </c>
      <c r="T58" s="6"/>
      <c r="U58" s="6"/>
      <c r="V58" s="6"/>
      <c r="W58" s="6"/>
      <c r="X58" s="6"/>
      <c r="Y58" s="6"/>
      <c r="Z58" s="6"/>
      <c r="AA58" s="6"/>
      <c r="AB58" s="7"/>
    </row>
    <row r="59" customFormat="false" ht="46.25" hidden="false" customHeight="false" outlineLevel="0" collapsed="false">
      <c r="A59" s="4" t="s">
        <v>612</v>
      </c>
      <c r="B59" s="4" t="s">
        <v>613</v>
      </c>
      <c r="C59" s="4" t="s">
        <v>61</v>
      </c>
      <c r="D59" s="4" t="s">
        <v>49</v>
      </c>
      <c r="E59" s="4"/>
      <c r="F59" s="4" t="s">
        <v>614</v>
      </c>
      <c r="G59" s="5" t="s">
        <v>615</v>
      </c>
      <c r="H59" s="5" t="s">
        <v>616</v>
      </c>
      <c r="I59" s="5" t="s">
        <v>145</v>
      </c>
      <c r="J59" s="5" t="s">
        <v>617</v>
      </c>
      <c r="K59" s="4" t="s">
        <v>575</v>
      </c>
      <c r="L59" s="4" t="n">
        <v>7</v>
      </c>
      <c r="M59" s="4" t="n">
        <v>3</v>
      </c>
      <c r="N59" s="4" t="s">
        <v>33</v>
      </c>
      <c r="O59" s="5" t="s">
        <v>618</v>
      </c>
      <c r="P59" s="5" t="s">
        <v>619</v>
      </c>
      <c r="Q59" s="5" t="s">
        <v>150</v>
      </c>
      <c r="R59" s="5" t="s">
        <v>620</v>
      </c>
      <c r="S59" s="4" t="n">
        <f aca="false">COUNTIF(Contacts!$A:$A,A59)</f>
        <v>1</v>
      </c>
      <c r="T59" s="6"/>
      <c r="U59" s="6"/>
      <c r="V59" s="6"/>
      <c r="W59" s="6"/>
      <c r="X59" s="6"/>
      <c r="Y59" s="6"/>
      <c r="Z59" s="6"/>
      <c r="AA59" s="6"/>
      <c r="AB59" s="7"/>
    </row>
    <row r="60" customFormat="false" ht="46.25" hidden="false" customHeight="false" outlineLevel="0" collapsed="false">
      <c r="A60" s="4" t="s">
        <v>621</v>
      </c>
      <c r="B60" s="4" t="s">
        <v>622</v>
      </c>
      <c r="C60" s="4" t="s">
        <v>592</v>
      </c>
      <c r="D60" s="4" t="s">
        <v>31</v>
      </c>
      <c r="E60" s="4"/>
      <c r="F60" s="4" t="s">
        <v>623</v>
      </c>
      <c r="G60" s="5" t="s">
        <v>624</v>
      </c>
      <c r="H60" s="5" t="s">
        <v>625</v>
      </c>
      <c r="I60" s="5" t="s">
        <v>145</v>
      </c>
      <c r="J60" s="5" t="s">
        <v>626</v>
      </c>
      <c r="K60" s="4" t="s">
        <v>608</v>
      </c>
      <c r="L60" s="4" t="n">
        <v>7</v>
      </c>
      <c r="M60" s="4" t="n">
        <v>3</v>
      </c>
      <c r="N60" s="4" t="s">
        <v>77</v>
      </c>
      <c r="O60" s="5" t="s">
        <v>627</v>
      </c>
      <c r="P60" s="5" t="s">
        <v>628</v>
      </c>
      <c r="Q60" s="5" t="s">
        <v>150</v>
      </c>
      <c r="R60" s="5" t="s">
        <v>629</v>
      </c>
      <c r="S60" s="4" t="n">
        <f aca="false">COUNTIF(Contacts!$A:$A,A60)</f>
        <v>1</v>
      </c>
      <c r="T60" s="6"/>
      <c r="U60" s="6"/>
      <c r="V60" s="6"/>
      <c r="W60" s="6"/>
      <c r="X60" s="6"/>
      <c r="Y60" s="6"/>
      <c r="Z60" s="6"/>
      <c r="AA60" s="6"/>
      <c r="AB60" s="7"/>
    </row>
    <row r="61" customFormat="false" ht="35.05" hidden="false" customHeight="false" outlineLevel="0" collapsed="false">
      <c r="A61" s="4" t="s">
        <v>630</v>
      </c>
      <c r="B61" s="4" t="s">
        <v>631</v>
      </c>
      <c r="C61" s="4" t="s">
        <v>48</v>
      </c>
      <c r="D61" s="4" t="s">
        <v>31</v>
      </c>
      <c r="E61" s="4"/>
      <c r="F61" s="4" t="s">
        <v>623</v>
      </c>
      <c r="G61" s="5" t="s">
        <v>632</v>
      </c>
      <c r="H61" s="5" t="s">
        <v>633</v>
      </c>
      <c r="I61" s="5" t="s">
        <v>634</v>
      </c>
      <c r="J61" s="5" t="s">
        <v>635</v>
      </c>
      <c r="K61" s="4" t="s">
        <v>636</v>
      </c>
      <c r="L61" s="4" t="n">
        <v>7</v>
      </c>
      <c r="M61" s="4" t="n">
        <v>3</v>
      </c>
      <c r="N61" s="4" t="s">
        <v>77</v>
      </c>
      <c r="O61" s="5" t="s">
        <v>637</v>
      </c>
      <c r="P61" s="5" t="s">
        <v>638</v>
      </c>
      <c r="Q61" s="5"/>
      <c r="R61" s="5" t="s">
        <v>639</v>
      </c>
      <c r="S61" s="4" t="n">
        <f aca="false">COUNTIF(Contacts!$A:$A,A61)</f>
        <v>1</v>
      </c>
      <c r="T61" s="6"/>
      <c r="U61" s="6"/>
      <c r="V61" s="6"/>
      <c r="W61" s="6"/>
      <c r="X61" s="6"/>
      <c r="Y61" s="6"/>
      <c r="Z61" s="6"/>
      <c r="AA61" s="6"/>
      <c r="AB61" s="7"/>
    </row>
    <row r="62" customFormat="false" ht="57.45" hidden="false" customHeight="false" outlineLevel="0" collapsed="false">
      <c r="A62" s="4" t="s">
        <v>640</v>
      </c>
      <c r="B62" s="4" t="s">
        <v>641</v>
      </c>
      <c r="C62" s="4" t="s">
        <v>642</v>
      </c>
      <c r="D62" s="4" t="s">
        <v>31</v>
      </c>
      <c r="E62" s="4"/>
      <c r="F62" s="4" t="s">
        <v>643</v>
      </c>
      <c r="G62" s="5" t="s">
        <v>644</v>
      </c>
      <c r="H62" s="5" t="s">
        <v>645</v>
      </c>
      <c r="I62" s="5" t="s">
        <v>145</v>
      </c>
      <c r="J62" s="5" t="s">
        <v>646</v>
      </c>
      <c r="K62" s="4" t="s">
        <v>575</v>
      </c>
      <c r="L62" s="4" t="n">
        <v>7</v>
      </c>
      <c r="M62" s="4" t="n">
        <v>3</v>
      </c>
      <c r="N62" s="4" t="s">
        <v>77</v>
      </c>
      <c r="O62" s="5" t="s">
        <v>647</v>
      </c>
      <c r="P62" s="5" t="s">
        <v>648</v>
      </c>
      <c r="Q62" s="5" t="s">
        <v>649</v>
      </c>
      <c r="R62" s="5" t="s">
        <v>650</v>
      </c>
      <c r="S62" s="4" t="n">
        <f aca="false">COUNTIF(Contacts!$A:$A,A62)</f>
        <v>1</v>
      </c>
      <c r="T62" s="6"/>
      <c r="U62" s="6"/>
      <c r="V62" s="6"/>
      <c r="W62" s="6"/>
      <c r="X62" s="6"/>
      <c r="Y62" s="6"/>
      <c r="Z62" s="6"/>
      <c r="AA62" s="6"/>
      <c r="AB62" s="7"/>
    </row>
    <row r="63" customFormat="false" ht="68.65" hidden="false" customHeight="false" outlineLevel="0" collapsed="false">
      <c r="A63" s="4" t="s">
        <v>651</v>
      </c>
      <c r="B63" s="4" t="s">
        <v>652</v>
      </c>
      <c r="C63" s="4" t="s">
        <v>592</v>
      </c>
      <c r="D63" s="4" t="s">
        <v>93</v>
      </c>
      <c r="E63" s="4"/>
      <c r="F63" s="4" t="s">
        <v>653</v>
      </c>
      <c r="G63" s="5" t="s">
        <v>654</v>
      </c>
      <c r="H63" s="5" t="s">
        <v>655</v>
      </c>
      <c r="I63" s="5" t="s">
        <v>656</v>
      </c>
      <c r="J63" s="5" t="s">
        <v>657</v>
      </c>
      <c r="K63" s="4"/>
      <c r="L63" s="4" t="n">
        <v>7</v>
      </c>
      <c r="M63" s="4" t="n">
        <v>3</v>
      </c>
      <c r="N63" s="4" t="s">
        <v>33</v>
      </c>
      <c r="O63" s="5" t="s">
        <v>658</v>
      </c>
      <c r="P63" s="5" t="s">
        <v>659</v>
      </c>
      <c r="Q63" s="5" t="s">
        <v>600</v>
      </c>
      <c r="R63" s="5" t="s">
        <v>660</v>
      </c>
      <c r="S63" s="4" t="n">
        <f aca="false">COUNTIF(Contacts!$A:$A,A63)</f>
        <v>1</v>
      </c>
      <c r="T63" s="6"/>
      <c r="U63" s="6"/>
      <c r="V63" s="6"/>
      <c r="W63" s="6"/>
      <c r="X63" s="6"/>
      <c r="Y63" s="6"/>
      <c r="Z63" s="6"/>
      <c r="AA63" s="6"/>
      <c r="AB63" s="7"/>
    </row>
    <row r="64" customFormat="false" ht="68.65" hidden="false" customHeight="false" outlineLevel="0" collapsed="false">
      <c r="A64" s="4" t="s">
        <v>661</v>
      </c>
      <c r="B64" s="4" t="s">
        <v>662</v>
      </c>
      <c r="C64" s="4" t="s">
        <v>113</v>
      </c>
      <c r="D64" s="4" t="s">
        <v>93</v>
      </c>
      <c r="E64" s="4"/>
      <c r="F64" s="4" t="s">
        <v>663</v>
      </c>
      <c r="G64" s="5" t="s">
        <v>664</v>
      </c>
      <c r="H64" s="5" t="s">
        <v>665</v>
      </c>
      <c r="I64" s="5" t="s">
        <v>666</v>
      </c>
      <c r="J64" s="5" t="s">
        <v>667</v>
      </c>
      <c r="K64" s="4"/>
      <c r="L64" s="4" t="n">
        <v>7</v>
      </c>
      <c r="M64" s="4" t="n">
        <v>3</v>
      </c>
      <c r="N64" s="4" t="s">
        <v>33</v>
      </c>
      <c r="O64" s="5" t="s">
        <v>668</v>
      </c>
      <c r="P64" s="5" t="s">
        <v>669</v>
      </c>
      <c r="Q64" s="5"/>
      <c r="R64" s="5" t="s">
        <v>670</v>
      </c>
      <c r="S64" s="4" t="n">
        <f aca="false">COUNTIF(Contacts!$A:$A,A64)</f>
        <v>2</v>
      </c>
      <c r="T64" s="6"/>
      <c r="U64" s="6"/>
      <c r="V64" s="6"/>
      <c r="W64" s="6"/>
      <c r="X64" s="6"/>
      <c r="Y64" s="6"/>
      <c r="Z64" s="6"/>
      <c r="AA64" s="6"/>
      <c r="AB64" s="7"/>
    </row>
    <row r="65" customFormat="false" ht="57.45" hidden="false" customHeight="false" outlineLevel="0" collapsed="false">
      <c r="A65" s="4" t="s">
        <v>671</v>
      </c>
      <c r="B65" s="4" t="s">
        <v>672</v>
      </c>
      <c r="C65" s="4" t="s">
        <v>61</v>
      </c>
      <c r="D65" s="4" t="s">
        <v>93</v>
      </c>
      <c r="E65" s="4"/>
      <c r="F65" s="4" t="s">
        <v>673</v>
      </c>
      <c r="G65" s="5" t="s">
        <v>674</v>
      </c>
      <c r="H65" s="5" t="s">
        <v>675</v>
      </c>
      <c r="I65" s="5" t="s">
        <v>676</v>
      </c>
      <c r="J65" s="5" t="s">
        <v>677</v>
      </c>
      <c r="K65" s="4"/>
      <c r="L65" s="4" t="n">
        <v>7</v>
      </c>
      <c r="M65" s="4" t="n">
        <v>3</v>
      </c>
      <c r="N65" s="4" t="s">
        <v>33</v>
      </c>
      <c r="O65" s="5" t="s">
        <v>678</v>
      </c>
      <c r="P65" s="5" t="s">
        <v>679</v>
      </c>
      <c r="Q65" s="5" t="s">
        <v>680</v>
      </c>
      <c r="R65" s="5" t="s">
        <v>681</v>
      </c>
      <c r="S65" s="4" t="n">
        <f aca="false">COUNTIF(Contacts!$A:$A,A65)</f>
        <v>1</v>
      </c>
      <c r="T65" s="6"/>
      <c r="U65" s="6"/>
      <c r="V65" s="6"/>
      <c r="W65" s="6"/>
      <c r="X65" s="6"/>
      <c r="Y65" s="6"/>
      <c r="Z65" s="6"/>
      <c r="AA65" s="6"/>
      <c r="AB65" s="7"/>
    </row>
    <row r="66" customFormat="false" ht="79.85" hidden="false" customHeight="false" outlineLevel="0" collapsed="false">
      <c r="A66" s="4" t="s">
        <v>682</v>
      </c>
      <c r="B66" s="4" t="s">
        <v>683</v>
      </c>
      <c r="C66" s="4" t="s">
        <v>61</v>
      </c>
      <c r="D66" s="4" t="s">
        <v>93</v>
      </c>
      <c r="E66" s="4"/>
      <c r="F66" s="4" t="s">
        <v>447</v>
      </c>
      <c r="G66" s="5" t="s">
        <v>684</v>
      </c>
      <c r="H66" s="5" t="s">
        <v>685</v>
      </c>
      <c r="I66" s="5" t="s">
        <v>227</v>
      </c>
      <c r="J66" s="5" t="s">
        <v>686</v>
      </c>
      <c r="K66" s="4"/>
      <c r="L66" s="4" t="n">
        <v>7</v>
      </c>
      <c r="M66" s="4" t="n">
        <v>3</v>
      </c>
      <c r="N66" s="4" t="s">
        <v>33</v>
      </c>
      <c r="O66" s="5" t="s">
        <v>687</v>
      </c>
      <c r="P66" s="5" t="s">
        <v>688</v>
      </c>
      <c r="Q66" s="5" t="s">
        <v>432</v>
      </c>
      <c r="R66" s="5" t="s">
        <v>689</v>
      </c>
      <c r="S66" s="4" t="n">
        <f aca="false">COUNTIF(Contacts!$A:$A,A66)</f>
        <v>1</v>
      </c>
      <c r="T66" s="6"/>
      <c r="U66" s="6"/>
      <c r="V66" s="6"/>
      <c r="W66" s="6"/>
      <c r="X66" s="6"/>
      <c r="Y66" s="6"/>
      <c r="Z66" s="6"/>
      <c r="AA66" s="6"/>
      <c r="AB66" s="7"/>
    </row>
    <row r="67" customFormat="false" ht="57.45" hidden="false" customHeight="false" outlineLevel="0" collapsed="false">
      <c r="A67" s="4" t="s">
        <v>690</v>
      </c>
      <c r="B67" s="4" t="s">
        <v>691</v>
      </c>
      <c r="C67" s="4" t="s">
        <v>692</v>
      </c>
      <c r="D67" s="4" t="s">
        <v>243</v>
      </c>
      <c r="E67" s="4"/>
      <c r="F67" s="4" t="s">
        <v>693</v>
      </c>
      <c r="G67" s="5" t="s">
        <v>694</v>
      </c>
      <c r="H67" s="5" t="s">
        <v>695</v>
      </c>
      <c r="I67" s="5"/>
      <c r="J67" s="5" t="s">
        <v>696</v>
      </c>
      <c r="K67" s="4"/>
      <c r="L67" s="4" t="n">
        <v>7</v>
      </c>
      <c r="M67" s="4" t="n">
        <v>3</v>
      </c>
      <c r="N67" s="4" t="s">
        <v>77</v>
      </c>
      <c r="O67" s="5" t="s">
        <v>697</v>
      </c>
      <c r="P67" s="5" t="s">
        <v>698</v>
      </c>
      <c r="Q67" s="5" t="s">
        <v>150</v>
      </c>
      <c r="R67" s="5" t="s">
        <v>699</v>
      </c>
      <c r="S67" s="4" t="n">
        <f aca="false">COUNTIF(Contacts!$A:$A,A67)</f>
        <v>1</v>
      </c>
      <c r="T67" s="6"/>
      <c r="U67" s="6"/>
      <c r="V67" s="6"/>
      <c r="W67" s="6"/>
      <c r="X67" s="6"/>
      <c r="Y67" s="6"/>
      <c r="Z67" s="6"/>
      <c r="AA67" s="6"/>
      <c r="AB67" s="7"/>
    </row>
    <row r="68" customFormat="false" ht="35.05" hidden="false" customHeight="false" outlineLevel="0" collapsed="false">
      <c r="A68" s="4" t="s">
        <v>700</v>
      </c>
      <c r="B68" s="4" t="s">
        <v>701</v>
      </c>
      <c r="C68" s="4" t="s">
        <v>113</v>
      </c>
      <c r="D68" s="4" t="s">
        <v>243</v>
      </c>
      <c r="E68" s="4"/>
      <c r="F68" s="4" t="s">
        <v>702</v>
      </c>
      <c r="G68" s="5" t="s">
        <v>703</v>
      </c>
      <c r="H68" s="5" t="s">
        <v>704</v>
      </c>
      <c r="I68" s="5"/>
      <c r="J68" s="5" t="s">
        <v>705</v>
      </c>
      <c r="K68" s="4"/>
      <c r="L68" s="4" t="n">
        <v>7</v>
      </c>
      <c r="M68" s="4" t="n">
        <v>3</v>
      </c>
      <c r="N68" s="4" t="s">
        <v>77</v>
      </c>
      <c r="O68" s="5" t="s">
        <v>706</v>
      </c>
      <c r="P68" s="5" t="s">
        <v>707</v>
      </c>
      <c r="Q68" s="5" t="s">
        <v>708</v>
      </c>
      <c r="R68" s="5" t="s">
        <v>709</v>
      </c>
      <c r="S68" s="4" t="n">
        <f aca="false">COUNTIF(Contacts!$A:$A,A68)</f>
        <v>2</v>
      </c>
      <c r="T68" s="6"/>
      <c r="U68" s="6"/>
      <c r="V68" s="6"/>
      <c r="W68" s="6"/>
      <c r="X68" s="6"/>
      <c r="Y68" s="6"/>
      <c r="Z68" s="6"/>
      <c r="AA68" s="6"/>
      <c r="AB68" s="7"/>
    </row>
    <row r="69" customFormat="false" ht="46.25" hidden="false" customHeight="false" outlineLevel="0" collapsed="false">
      <c r="A69" s="4" t="s">
        <v>710</v>
      </c>
      <c r="B69" s="4" t="s">
        <v>711</v>
      </c>
      <c r="C69" s="4" t="s">
        <v>113</v>
      </c>
      <c r="D69" s="4" t="s">
        <v>243</v>
      </c>
      <c r="E69" s="4"/>
      <c r="F69" s="4" t="s">
        <v>712</v>
      </c>
      <c r="G69" s="5" t="s">
        <v>713</v>
      </c>
      <c r="H69" s="5" t="s">
        <v>714</v>
      </c>
      <c r="I69" s="5"/>
      <c r="J69" s="5" t="s">
        <v>715</v>
      </c>
      <c r="K69" s="4"/>
      <c r="L69" s="4" t="n">
        <v>7</v>
      </c>
      <c r="M69" s="4" t="n">
        <v>3</v>
      </c>
      <c r="N69" s="4" t="s">
        <v>77</v>
      </c>
      <c r="O69" s="5" t="s">
        <v>716</v>
      </c>
      <c r="P69" s="5" t="s">
        <v>717</v>
      </c>
      <c r="Q69" s="5" t="s">
        <v>718</v>
      </c>
      <c r="R69" s="5" t="s">
        <v>719</v>
      </c>
      <c r="S69" s="4" t="n">
        <f aca="false">COUNTIF(Contacts!$A:$A,A69)</f>
        <v>2</v>
      </c>
      <c r="T69" s="6"/>
      <c r="U69" s="6"/>
      <c r="V69" s="6"/>
      <c r="W69" s="6"/>
      <c r="X69" s="6"/>
      <c r="Y69" s="6"/>
      <c r="Z69" s="6"/>
      <c r="AA69" s="6"/>
      <c r="AB69" s="7"/>
    </row>
    <row r="70" customFormat="false" ht="57.45" hidden="false" customHeight="false" outlineLevel="0" collapsed="false">
      <c r="A70" s="4" t="s">
        <v>720</v>
      </c>
      <c r="B70" s="4" t="s">
        <v>721</v>
      </c>
      <c r="C70" s="4" t="s">
        <v>113</v>
      </c>
      <c r="D70" s="4" t="s">
        <v>243</v>
      </c>
      <c r="E70" s="4"/>
      <c r="F70" s="4" t="s">
        <v>722</v>
      </c>
      <c r="G70" s="5" t="s">
        <v>723</v>
      </c>
      <c r="H70" s="5" t="s">
        <v>724</v>
      </c>
      <c r="I70" s="5"/>
      <c r="J70" s="5" t="s">
        <v>725</v>
      </c>
      <c r="K70" s="4"/>
      <c r="L70" s="4" t="n">
        <v>7</v>
      </c>
      <c r="M70" s="4" t="n">
        <v>3</v>
      </c>
      <c r="N70" s="4" t="s">
        <v>77</v>
      </c>
      <c r="O70" s="5" t="s">
        <v>726</v>
      </c>
      <c r="P70" s="5" t="s">
        <v>727</v>
      </c>
      <c r="Q70" s="5" t="s">
        <v>728</v>
      </c>
      <c r="R70" s="5" t="s">
        <v>729</v>
      </c>
      <c r="S70" s="4" t="n">
        <f aca="false">COUNTIF(Contacts!$A:$A,A70)</f>
        <v>1</v>
      </c>
      <c r="T70" s="6"/>
      <c r="U70" s="6"/>
      <c r="V70" s="6"/>
      <c r="W70" s="6"/>
      <c r="X70" s="6"/>
      <c r="Y70" s="6"/>
      <c r="Z70" s="6"/>
      <c r="AA70" s="6"/>
      <c r="AB70" s="7"/>
    </row>
    <row r="71" customFormat="false" ht="79.85" hidden="false" customHeight="false" outlineLevel="0" collapsed="false">
      <c r="A71" s="4" t="s">
        <v>730</v>
      </c>
      <c r="B71" s="4" t="s">
        <v>731</v>
      </c>
      <c r="C71" s="4" t="s">
        <v>305</v>
      </c>
      <c r="D71" s="4" t="s">
        <v>243</v>
      </c>
      <c r="E71" s="4"/>
      <c r="F71" s="4" t="s">
        <v>702</v>
      </c>
      <c r="G71" s="5" t="s">
        <v>732</v>
      </c>
      <c r="H71" s="5" t="s">
        <v>733</v>
      </c>
      <c r="I71" s="5"/>
      <c r="J71" s="5" t="s">
        <v>734</v>
      </c>
      <c r="K71" s="4"/>
      <c r="L71" s="4" t="n">
        <v>7</v>
      </c>
      <c r="M71" s="4" t="n">
        <v>3</v>
      </c>
      <c r="N71" s="4" t="s">
        <v>77</v>
      </c>
      <c r="O71" s="5" t="s">
        <v>735</v>
      </c>
      <c r="P71" s="5" t="s">
        <v>736</v>
      </c>
      <c r="Q71" s="5" t="s">
        <v>737</v>
      </c>
      <c r="R71" s="5" t="s">
        <v>738</v>
      </c>
      <c r="S71" s="4" t="n">
        <f aca="false">COUNTIF(Contacts!$A:$A,A71)</f>
        <v>1</v>
      </c>
      <c r="T71" s="6"/>
      <c r="U71" s="6"/>
      <c r="V71" s="6"/>
      <c r="W71" s="6"/>
      <c r="X71" s="6"/>
      <c r="Y71" s="6"/>
      <c r="Z71" s="6"/>
      <c r="AA71" s="6"/>
      <c r="AB71" s="7"/>
    </row>
    <row r="72" customFormat="false" ht="46.25" hidden="false" customHeight="false" outlineLevel="0" collapsed="false">
      <c r="A72" s="4" t="s">
        <v>739</v>
      </c>
      <c r="B72" s="4" t="s">
        <v>740</v>
      </c>
      <c r="C72" s="4" t="s">
        <v>571</v>
      </c>
      <c r="D72" s="4" t="s">
        <v>49</v>
      </c>
      <c r="E72" s="4"/>
      <c r="F72" s="4" t="s">
        <v>741</v>
      </c>
      <c r="G72" s="5" t="s">
        <v>742</v>
      </c>
      <c r="H72" s="5" t="s">
        <v>743</v>
      </c>
      <c r="I72" s="5" t="s">
        <v>744</v>
      </c>
      <c r="J72" s="5" t="s">
        <v>745</v>
      </c>
      <c r="K72" s="4" t="s">
        <v>746</v>
      </c>
      <c r="L72" s="4" t="n">
        <v>6</v>
      </c>
      <c r="M72" s="4" t="n">
        <v>3</v>
      </c>
      <c r="N72" s="4" t="s">
        <v>33</v>
      </c>
      <c r="O72" s="5" t="s">
        <v>747</v>
      </c>
      <c r="P72" s="5" t="s">
        <v>748</v>
      </c>
      <c r="Q72" s="5" t="s">
        <v>749</v>
      </c>
      <c r="R72" s="5" t="s">
        <v>750</v>
      </c>
      <c r="S72" s="4" t="n">
        <f aca="false">COUNTIF(Contacts!$A:$A,A72)</f>
        <v>1</v>
      </c>
      <c r="T72" s="6"/>
      <c r="U72" s="6"/>
      <c r="V72" s="6"/>
      <c r="W72" s="6"/>
      <c r="X72" s="6"/>
      <c r="Y72" s="6"/>
      <c r="Z72" s="6"/>
      <c r="AA72" s="6"/>
      <c r="AB72" s="7"/>
    </row>
    <row r="73" customFormat="false" ht="46.25" hidden="false" customHeight="false" outlineLevel="0" collapsed="false">
      <c r="A73" s="4" t="s">
        <v>751</v>
      </c>
      <c r="B73" s="4" t="s">
        <v>752</v>
      </c>
      <c r="C73" s="4" t="s">
        <v>113</v>
      </c>
      <c r="D73" s="4" t="s">
        <v>49</v>
      </c>
      <c r="E73" s="4"/>
      <c r="F73" s="4" t="s">
        <v>124</v>
      </c>
      <c r="G73" s="5" t="s">
        <v>753</v>
      </c>
      <c r="H73" s="5" t="s">
        <v>754</v>
      </c>
      <c r="I73" s="5" t="s">
        <v>755</v>
      </c>
      <c r="J73" s="5" t="s">
        <v>756</v>
      </c>
      <c r="K73" s="4" t="s">
        <v>757</v>
      </c>
      <c r="L73" s="4" t="n">
        <v>6</v>
      </c>
      <c r="M73" s="4" t="n">
        <v>3</v>
      </c>
      <c r="N73" s="4" t="s">
        <v>33</v>
      </c>
      <c r="O73" s="5" t="s">
        <v>758</v>
      </c>
      <c r="P73" s="5" t="s">
        <v>759</v>
      </c>
      <c r="Q73" s="5" t="s">
        <v>760</v>
      </c>
      <c r="R73" s="5" t="s">
        <v>761</v>
      </c>
      <c r="S73" s="4" t="n">
        <f aca="false">COUNTIF(Contacts!$A:$A,A73)</f>
        <v>2</v>
      </c>
      <c r="T73" s="6"/>
      <c r="U73" s="6"/>
      <c r="V73" s="6"/>
      <c r="W73" s="6"/>
      <c r="X73" s="6"/>
      <c r="Y73" s="6"/>
      <c r="Z73" s="6"/>
      <c r="AA73" s="6"/>
      <c r="AB73" s="7"/>
    </row>
    <row r="74" customFormat="false" ht="57.45" hidden="false" customHeight="false" outlineLevel="0" collapsed="false">
      <c r="A74" s="4" t="s">
        <v>762</v>
      </c>
      <c r="B74" s="4" t="s">
        <v>763</v>
      </c>
      <c r="C74" s="4" t="s">
        <v>113</v>
      </c>
      <c r="D74" s="4" t="s">
        <v>93</v>
      </c>
      <c r="E74" s="4"/>
      <c r="F74" s="4" t="s">
        <v>764</v>
      </c>
      <c r="G74" s="5" t="s">
        <v>765</v>
      </c>
      <c r="H74" s="5" t="s">
        <v>766</v>
      </c>
      <c r="I74" s="5" t="s">
        <v>227</v>
      </c>
      <c r="J74" s="5" t="s">
        <v>767</v>
      </c>
      <c r="K74" s="4"/>
      <c r="L74" s="4" t="n">
        <v>6</v>
      </c>
      <c r="M74" s="4" t="n">
        <v>3</v>
      </c>
      <c r="N74" s="4" t="s">
        <v>33</v>
      </c>
      <c r="O74" s="5" t="s">
        <v>768</v>
      </c>
      <c r="P74" s="5" t="s">
        <v>769</v>
      </c>
      <c r="Q74" s="5" t="s">
        <v>770</v>
      </c>
      <c r="R74" s="5" t="s">
        <v>771</v>
      </c>
      <c r="S74" s="4" t="n">
        <f aca="false">COUNTIF(Contacts!$A:$A,A74)</f>
        <v>2</v>
      </c>
      <c r="T74" s="6"/>
      <c r="U74" s="6"/>
      <c r="V74" s="6"/>
      <c r="W74" s="6"/>
      <c r="X74" s="6"/>
      <c r="Y74" s="6"/>
      <c r="Z74" s="6"/>
      <c r="AA74" s="6"/>
      <c r="AB74" s="7"/>
    </row>
    <row r="75" customFormat="false" ht="35.05" hidden="false" customHeight="false" outlineLevel="0" collapsed="false">
      <c r="A75" s="4" t="s">
        <v>772</v>
      </c>
      <c r="B75" s="4" t="s">
        <v>773</v>
      </c>
      <c r="C75" s="4" t="s">
        <v>113</v>
      </c>
      <c r="D75" s="4" t="s">
        <v>243</v>
      </c>
      <c r="E75" s="4"/>
      <c r="F75" s="4" t="s">
        <v>774</v>
      </c>
      <c r="G75" s="5" t="s">
        <v>775</v>
      </c>
      <c r="H75" s="5" t="s">
        <v>776</v>
      </c>
      <c r="I75" s="5"/>
      <c r="J75" s="5" t="s">
        <v>777</v>
      </c>
      <c r="K75" s="4"/>
      <c r="L75" s="4" t="n">
        <v>6</v>
      </c>
      <c r="M75" s="4" t="n">
        <v>3</v>
      </c>
      <c r="N75" s="4" t="s">
        <v>77</v>
      </c>
      <c r="O75" s="5" t="s">
        <v>778</v>
      </c>
      <c r="P75" s="5" t="s">
        <v>779</v>
      </c>
      <c r="Q75" s="5" t="s">
        <v>780</v>
      </c>
      <c r="R75" s="5" t="s">
        <v>781</v>
      </c>
      <c r="S75" s="4" t="n">
        <f aca="false">COUNTIF(Contacts!$A:$A,A75)</f>
        <v>1</v>
      </c>
      <c r="T75" s="6"/>
      <c r="U75" s="6"/>
      <c r="V75" s="6"/>
      <c r="W75" s="6"/>
      <c r="X75" s="6"/>
      <c r="Y75" s="6"/>
      <c r="Z75" s="6"/>
      <c r="AA75" s="6"/>
      <c r="AB75" s="7"/>
    </row>
    <row r="76" customFormat="false" ht="68.65" hidden="false" customHeight="false" outlineLevel="0" collapsed="false">
      <c r="A76" s="4" t="s">
        <v>782</v>
      </c>
      <c r="B76" s="4" t="s">
        <v>783</v>
      </c>
      <c r="C76" s="4" t="s">
        <v>784</v>
      </c>
      <c r="D76" s="4" t="s">
        <v>784</v>
      </c>
      <c r="E76" s="4" t="s">
        <v>32</v>
      </c>
      <c r="F76" s="4" t="s">
        <v>785</v>
      </c>
      <c r="G76" s="5" t="s">
        <v>786</v>
      </c>
      <c r="H76" s="5" t="s">
        <v>787</v>
      </c>
      <c r="I76" s="5" t="s">
        <v>788</v>
      </c>
      <c r="J76" s="5" t="s">
        <v>789</v>
      </c>
      <c r="K76" s="4" t="s">
        <v>55</v>
      </c>
      <c r="L76" s="4" t="n">
        <v>10</v>
      </c>
      <c r="M76" s="4" t="n">
        <v>1</v>
      </c>
      <c r="N76" s="4" t="s">
        <v>77</v>
      </c>
      <c r="O76" s="5" t="s">
        <v>790</v>
      </c>
      <c r="P76" s="5" t="s">
        <v>790</v>
      </c>
      <c r="Q76" s="5" t="s">
        <v>791</v>
      </c>
      <c r="R76" s="5" t="s">
        <v>792</v>
      </c>
      <c r="S76" s="4" t="n">
        <f aca="false">COUNTIF(Contacts!$A:$A,A76)</f>
        <v>2</v>
      </c>
      <c r="T76" s="6"/>
      <c r="U76" s="6"/>
      <c r="V76" s="6"/>
      <c r="W76" s="6"/>
      <c r="X76" s="6"/>
      <c r="Y76" s="6"/>
      <c r="Z76" s="6"/>
      <c r="AA76" s="6"/>
      <c r="AB76" s="7"/>
    </row>
    <row r="77" customFormat="false" ht="46.25" hidden="false" customHeight="false" outlineLevel="0" collapsed="false">
      <c r="A77" s="4" t="s">
        <v>793</v>
      </c>
      <c r="B77" s="4" t="s">
        <v>794</v>
      </c>
      <c r="C77" s="4" t="s">
        <v>784</v>
      </c>
      <c r="D77" s="4" t="s">
        <v>784</v>
      </c>
      <c r="E77" s="4" t="s">
        <v>32</v>
      </c>
      <c r="F77" s="4" t="s">
        <v>795</v>
      </c>
      <c r="G77" s="5" t="s">
        <v>796</v>
      </c>
      <c r="H77" s="5" t="s">
        <v>797</v>
      </c>
      <c r="I77" s="5" t="s">
        <v>798</v>
      </c>
      <c r="J77" s="5" t="s">
        <v>799</v>
      </c>
      <c r="K77" s="4" t="s">
        <v>138</v>
      </c>
      <c r="L77" s="4" t="n">
        <v>9</v>
      </c>
      <c r="M77" s="4" t="n">
        <v>1</v>
      </c>
      <c r="N77" s="4" t="s">
        <v>77</v>
      </c>
      <c r="O77" s="5" t="s">
        <v>800</v>
      </c>
      <c r="P77" s="5" t="s">
        <v>800</v>
      </c>
      <c r="Q77" s="5" t="s">
        <v>801</v>
      </c>
      <c r="R77" s="5" t="s">
        <v>802</v>
      </c>
      <c r="S77" s="4" t="n">
        <f aca="false">COUNTIF(Contacts!$A:$A,A77)</f>
        <v>2</v>
      </c>
      <c r="T77" s="6"/>
      <c r="U77" s="6"/>
      <c r="V77" s="6"/>
      <c r="W77" s="6"/>
      <c r="X77" s="6"/>
      <c r="Y77" s="6"/>
      <c r="Z77" s="6"/>
      <c r="AA77" s="6"/>
      <c r="AB77" s="7"/>
    </row>
    <row r="78" customFormat="false" ht="79.85" hidden="false" customHeight="false" outlineLevel="0" collapsed="false">
      <c r="A78" s="4" t="s">
        <v>803</v>
      </c>
      <c r="B78" s="4" t="s">
        <v>804</v>
      </c>
      <c r="C78" s="4" t="s">
        <v>784</v>
      </c>
      <c r="D78" s="4" t="s">
        <v>784</v>
      </c>
      <c r="E78" s="4" t="s">
        <v>32</v>
      </c>
      <c r="F78" s="4" t="s">
        <v>805</v>
      </c>
      <c r="G78" s="5" t="s">
        <v>806</v>
      </c>
      <c r="H78" s="5" t="s">
        <v>807</v>
      </c>
      <c r="I78" s="5" t="s">
        <v>808</v>
      </c>
      <c r="J78" s="5" t="s">
        <v>809</v>
      </c>
      <c r="K78" s="4" t="s">
        <v>138</v>
      </c>
      <c r="L78" s="4" t="n">
        <v>9</v>
      </c>
      <c r="M78" s="4" t="n">
        <v>1</v>
      </c>
      <c r="N78" s="4" t="s">
        <v>77</v>
      </c>
      <c r="O78" s="5" t="s">
        <v>810</v>
      </c>
      <c r="P78" s="5" t="s">
        <v>810</v>
      </c>
      <c r="Q78" s="5"/>
      <c r="R78" s="5" t="s">
        <v>811</v>
      </c>
      <c r="S78" s="4" t="n">
        <f aca="false">COUNTIF(Contacts!$A:$A,A78)</f>
        <v>1</v>
      </c>
      <c r="T78" s="6"/>
      <c r="U78" s="6"/>
      <c r="V78" s="6"/>
      <c r="W78" s="6"/>
      <c r="X78" s="6"/>
      <c r="Y78" s="6"/>
      <c r="Z78" s="6"/>
      <c r="AA78" s="6"/>
      <c r="AB78" s="7"/>
    </row>
    <row r="79" customFormat="false" ht="46.25" hidden="false" customHeight="false" outlineLevel="0" collapsed="false">
      <c r="A79" s="4" t="s">
        <v>812</v>
      </c>
      <c r="B79" s="4" t="s">
        <v>813</v>
      </c>
      <c r="C79" s="4" t="s">
        <v>784</v>
      </c>
      <c r="D79" s="4" t="s">
        <v>784</v>
      </c>
      <c r="E79" s="4" t="s">
        <v>32</v>
      </c>
      <c r="F79" s="4" t="s">
        <v>814</v>
      </c>
      <c r="G79" s="5" t="s">
        <v>815</v>
      </c>
      <c r="H79" s="5" t="s">
        <v>816</v>
      </c>
      <c r="I79" s="5" t="s">
        <v>817</v>
      </c>
      <c r="J79" s="5" t="s">
        <v>818</v>
      </c>
      <c r="K79" s="4" t="s">
        <v>147</v>
      </c>
      <c r="L79" s="4" t="n">
        <v>9</v>
      </c>
      <c r="M79" s="4" t="n">
        <v>1</v>
      </c>
      <c r="N79" s="4" t="s">
        <v>77</v>
      </c>
      <c r="O79" s="5" t="s">
        <v>819</v>
      </c>
      <c r="P79" s="5" t="s">
        <v>819</v>
      </c>
      <c r="Q79" s="5" t="s">
        <v>820</v>
      </c>
      <c r="R79" s="5" t="s">
        <v>821</v>
      </c>
      <c r="S79" s="4" t="n">
        <f aca="false">COUNTIF(Contacts!$A:$A,A79)</f>
        <v>2</v>
      </c>
      <c r="T79" s="6"/>
      <c r="U79" s="6"/>
      <c r="V79" s="6"/>
      <c r="W79" s="6"/>
      <c r="X79" s="6"/>
      <c r="Y79" s="6"/>
      <c r="Z79" s="6"/>
      <c r="AA79" s="6"/>
      <c r="AB79" s="7"/>
    </row>
    <row r="80" customFormat="false" ht="46.25" hidden="false" customHeight="false" outlineLevel="0" collapsed="false">
      <c r="A80" s="4" t="s">
        <v>822</v>
      </c>
      <c r="B80" s="4" t="s">
        <v>823</v>
      </c>
      <c r="C80" s="4" t="s">
        <v>784</v>
      </c>
      <c r="D80" s="4" t="s">
        <v>784</v>
      </c>
      <c r="E80" s="4" t="s">
        <v>32</v>
      </c>
      <c r="F80" s="4" t="s">
        <v>824</v>
      </c>
      <c r="G80" s="5" t="s">
        <v>825</v>
      </c>
      <c r="H80" s="5" t="s">
        <v>826</v>
      </c>
      <c r="I80" s="5" t="s">
        <v>827</v>
      </c>
      <c r="J80" s="5" t="s">
        <v>828</v>
      </c>
      <c r="K80" s="4" t="s">
        <v>138</v>
      </c>
      <c r="L80" s="4" t="n">
        <v>9</v>
      </c>
      <c r="M80" s="4" t="n">
        <v>1</v>
      </c>
      <c r="N80" s="4" t="s">
        <v>77</v>
      </c>
      <c r="O80" s="5" t="s">
        <v>829</v>
      </c>
      <c r="P80" s="5" t="s">
        <v>829</v>
      </c>
      <c r="Q80" s="5"/>
      <c r="R80" s="5" t="s">
        <v>830</v>
      </c>
      <c r="S80" s="4" t="n">
        <f aca="false">COUNTIF(Contacts!$A:$A,A80)</f>
        <v>1</v>
      </c>
      <c r="T80" s="6"/>
      <c r="U80" s="6"/>
      <c r="V80" s="6"/>
      <c r="W80" s="6"/>
      <c r="X80" s="6"/>
      <c r="Y80" s="6"/>
      <c r="Z80" s="6"/>
      <c r="AA80" s="6"/>
      <c r="AB80" s="7"/>
    </row>
    <row r="81" customFormat="false" ht="35.05" hidden="false" customHeight="false" outlineLevel="0" collapsed="false">
      <c r="A81" s="4" t="s">
        <v>831</v>
      </c>
      <c r="B81" s="4" t="s">
        <v>832</v>
      </c>
      <c r="C81" s="4" t="s">
        <v>784</v>
      </c>
      <c r="D81" s="4" t="s">
        <v>784</v>
      </c>
      <c r="E81" s="4" t="s">
        <v>32</v>
      </c>
      <c r="F81" s="4" t="s">
        <v>833</v>
      </c>
      <c r="G81" s="5" t="s">
        <v>834</v>
      </c>
      <c r="H81" s="5" t="s">
        <v>835</v>
      </c>
      <c r="I81" s="5" t="s">
        <v>836</v>
      </c>
      <c r="J81" s="5" t="s">
        <v>837</v>
      </c>
      <c r="K81" s="4" t="s">
        <v>138</v>
      </c>
      <c r="L81" s="4" t="n">
        <v>9</v>
      </c>
      <c r="M81" s="4" t="n">
        <v>1</v>
      </c>
      <c r="N81" s="4" t="s">
        <v>77</v>
      </c>
      <c r="O81" s="5" t="s">
        <v>838</v>
      </c>
      <c r="P81" s="5" t="s">
        <v>838</v>
      </c>
      <c r="Q81" s="5"/>
      <c r="R81" s="5" t="s">
        <v>839</v>
      </c>
      <c r="S81" s="4" t="n">
        <f aca="false">COUNTIF(Contacts!$A:$A,A81)</f>
        <v>2</v>
      </c>
      <c r="T81" s="6"/>
      <c r="U81" s="6"/>
      <c r="V81" s="6"/>
      <c r="W81" s="6"/>
      <c r="X81" s="6"/>
      <c r="Y81" s="6"/>
      <c r="Z81" s="6"/>
      <c r="AA81" s="6"/>
      <c r="AB81" s="7"/>
    </row>
    <row r="82" customFormat="false" ht="57.45" hidden="false" customHeight="false" outlineLevel="0" collapsed="false">
      <c r="A82" s="4" t="s">
        <v>840</v>
      </c>
      <c r="B82" s="4" t="s">
        <v>841</v>
      </c>
      <c r="C82" s="4" t="s">
        <v>784</v>
      </c>
      <c r="D82" s="4" t="s">
        <v>784</v>
      </c>
      <c r="E82" s="4" t="s">
        <v>32</v>
      </c>
      <c r="F82" s="4" t="s">
        <v>842</v>
      </c>
      <c r="G82" s="5" t="s">
        <v>843</v>
      </c>
      <c r="H82" s="5" t="s">
        <v>844</v>
      </c>
      <c r="I82" s="5" t="s">
        <v>845</v>
      </c>
      <c r="J82" s="5" t="s">
        <v>846</v>
      </c>
      <c r="K82" s="4" t="s">
        <v>276</v>
      </c>
      <c r="L82" s="4" t="n">
        <v>8</v>
      </c>
      <c r="M82" s="4" t="n">
        <v>2</v>
      </c>
      <c r="N82" s="4" t="s">
        <v>77</v>
      </c>
      <c r="O82" s="5" t="s">
        <v>847</v>
      </c>
      <c r="P82" s="5" t="s">
        <v>847</v>
      </c>
      <c r="Q82" s="5" t="s">
        <v>848</v>
      </c>
      <c r="R82" s="5" t="s">
        <v>849</v>
      </c>
      <c r="S82" s="4" t="n">
        <f aca="false">COUNTIF(Contacts!$A:$A,A82)</f>
        <v>1</v>
      </c>
      <c r="T82" s="6"/>
      <c r="U82" s="6"/>
      <c r="V82" s="6"/>
      <c r="W82" s="6"/>
      <c r="X82" s="6"/>
      <c r="Y82" s="6"/>
      <c r="Z82" s="6"/>
      <c r="AA82" s="6"/>
      <c r="AB82" s="7"/>
    </row>
    <row r="83" customFormat="false" ht="35.05" hidden="false" customHeight="false" outlineLevel="0" collapsed="false">
      <c r="A83" s="4" t="s">
        <v>850</v>
      </c>
      <c r="B83" s="4" t="s">
        <v>851</v>
      </c>
      <c r="C83" s="4" t="s">
        <v>784</v>
      </c>
      <c r="D83" s="4" t="s">
        <v>784</v>
      </c>
      <c r="E83" s="4" t="s">
        <v>32</v>
      </c>
      <c r="F83" s="4" t="s">
        <v>852</v>
      </c>
      <c r="G83" s="5" t="s">
        <v>853</v>
      </c>
      <c r="H83" s="5" t="s">
        <v>854</v>
      </c>
      <c r="I83" s="5" t="s">
        <v>855</v>
      </c>
      <c r="J83" s="5" t="s">
        <v>856</v>
      </c>
      <c r="K83" s="4" t="s">
        <v>276</v>
      </c>
      <c r="L83" s="4" t="n">
        <v>8</v>
      </c>
      <c r="M83" s="4" t="n">
        <v>2</v>
      </c>
      <c r="N83" s="4" t="s">
        <v>77</v>
      </c>
      <c r="O83" s="5" t="s">
        <v>857</v>
      </c>
      <c r="P83" s="5" t="s">
        <v>857</v>
      </c>
      <c r="Q83" s="5" t="s">
        <v>848</v>
      </c>
      <c r="R83" s="5" t="s">
        <v>858</v>
      </c>
      <c r="S83" s="4" t="n">
        <f aca="false">COUNTIF(Contacts!$A:$A,A83)</f>
        <v>2</v>
      </c>
      <c r="T83" s="6"/>
      <c r="U83" s="6"/>
      <c r="V83" s="6"/>
      <c r="W83" s="6"/>
      <c r="X83" s="6"/>
      <c r="Y83" s="6"/>
      <c r="Z83" s="6"/>
      <c r="AA83" s="6"/>
      <c r="AB83" s="7"/>
    </row>
    <row r="84" customFormat="false" ht="46.25" hidden="false" customHeight="false" outlineLevel="0" collapsed="false">
      <c r="A84" s="4" t="s">
        <v>859</v>
      </c>
      <c r="B84" s="4" t="s">
        <v>860</v>
      </c>
      <c r="C84" s="4" t="s">
        <v>784</v>
      </c>
      <c r="D84" s="4" t="s">
        <v>784</v>
      </c>
      <c r="E84" s="4" t="s">
        <v>32</v>
      </c>
      <c r="F84" s="4" t="s">
        <v>861</v>
      </c>
      <c r="G84" s="5" t="s">
        <v>862</v>
      </c>
      <c r="H84" s="5" t="s">
        <v>863</v>
      </c>
      <c r="I84" s="5" t="s">
        <v>174</v>
      </c>
      <c r="J84" s="5" t="s">
        <v>864</v>
      </c>
      <c r="K84" s="4" t="s">
        <v>329</v>
      </c>
      <c r="L84" s="4" t="n">
        <v>8</v>
      </c>
      <c r="M84" s="4" t="n">
        <v>2</v>
      </c>
      <c r="N84" s="4" t="s">
        <v>77</v>
      </c>
      <c r="O84" s="5" t="s">
        <v>865</v>
      </c>
      <c r="P84" s="5" t="s">
        <v>865</v>
      </c>
      <c r="Q84" s="5"/>
      <c r="R84" s="5" t="s">
        <v>866</v>
      </c>
      <c r="S84" s="4" t="n">
        <f aca="false">COUNTIF(Contacts!$A:$A,A84)</f>
        <v>2</v>
      </c>
      <c r="T84" s="6"/>
      <c r="U84" s="6"/>
      <c r="V84" s="6"/>
      <c r="W84" s="6"/>
      <c r="X84" s="6"/>
      <c r="Y84" s="6"/>
      <c r="Z84" s="6"/>
      <c r="AA84" s="6"/>
      <c r="AB84" s="7"/>
    </row>
    <row r="85" customFormat="false" ht="68.65" hidden="false" customHeight="false" outlineLevel="0" collapsed="false">
      <c r="A85" s="4" t="s">
        <v>867</v>
      </c>
      <c r="B85" s="4" t="s">
        <v>868</v>
      </c>
      <c r="C85" s="4" t="s">
        <v>48</v>
      </c>
      <c r="D85" s="4" t="s">
        <v>784</v>
      </c>
      <c r="E85" s="4" t="s">
        <v>32</v>
      </c>
      <c r="F85" s="4" t="s">
        <v>869</v>
      </c>
      <c r="G85" s="5" t="s">
        <v>870</v>
      </c>
      <c r="H85" s="5" t="s">
        <v>871</v>
      </c>
      <c r="I85" s="5" t="s">
        <v>872</v>
      </c>
      <c r="J85" s="5" t="s">
        <v>873</v>
      </c>
      <c r="K85" s="4" t="s">
        <v>874</v>
      </c>
      <c r="L85" s="4" t="n">
        <v>7</v>
      </c>
      <c r="M85" s="4" t="n">
        <v>3</v>
      </c>
      <c r="N85" s="4" t="s">
        <v>77</v>
      </c>
      <c r="O85" s="5" t="s">
        <v>875</v>
      </c>
      <c r="P85" s="5" t="s">
        <v>875</v>
      </c>
      <c r="Q85" s="5" t="s">
        <v>876</v>
      </c>
      <c r="R85" s="5"/>
      <c r="S85" s="4" t="n">
        <f aca="false">COUNTIF(Contacts!$A:$A,A85)</f>
        <v>0</v>
      </c>
      <c r="T85" s="6"/>
      <c r="U85" s="6"/>
      <c r="V85" s="6"/>
      <c r="W85" s="6"/>
      <c r="X85" s="6"/>
      <c r="Y85" s="6"/>
      <c r="Z85" s="6"/>
      <c r="AA85" s="6"/>
      <c r="AB85" s="7"/>
    </row>
    <row r="86" customFormat="false" ht="46.25" hidden="false" customHeight="false" outlineLevel="0" collapsed="false">
      <c r="A86" s="4" t="s">
        <v>877</v>
      </c>
      <c r="B86" s="4" t="s">
        <v>878</v>
      </c>
      <c r="C86" s="4" t="s">
        <v>784</v>
      </c>
      <c r="D86" s="4" t="s">
        <v>784</v>
      </c>
      <c r="E86" s="4" t="s">
        <v>879</v>
      </c>
      <c r="F86" s="4" t="s">
        <v>880</v>
      </c>
      <c r="G86" s="5" t="s">
        <v>881</v>
      </c>
      <c r="H86" s="5" t="s">
        <v>882</v>
      </c>
      <c r="I86" s="5" t="s">
        <v>883</v>
      </c>
      <c r="J86" s="5" t="s">
        <v>884</v>
      </c>
      <c r="K86" s="4" t="s">
        <v>55</v>
      </c>
      <c r="L86" s="4" t="n">
        <v>10</v>
      </c>
      <c r="M86" s="4" t="n">
        <v>1</v>
      </c>
      <c r="N86" s="4" t="s">
        <v>33</v>
      </c>
      <c r="O86" s="5" t="s">
        <v>885</v>
      </c>
      <c r="P86" s="5" t="s">
        <v>885</v>
      </c>
      <c r="Q86" s="5"/>
      <c r="R86" s="5" t="s">
        <v>886</v>
      </c>
      <c r="S86" s="4" t="n">
        <f aca="false">COUNTIF(Contacts!$A:$A,A86)</f>
        <v>2</v>
      </c>
      <c r="T86" s="6"/>
      <c r="U86" s="6"/>
      <c r="V86" s="6"/>
      <c r="W86" s="6"/>
      <c r="X86" s="6"/>
      <c r="Y86" s="6"/>
      <c r="Z86" s="6"/>
      <c r="AA86" s="6"/>
      <c r="AB86" s="7"/>
    </row>
    <row r="87" customFormat="false" ht="68.65" hidden="false" customHeight="false" outlineLevel="0" collapsed="false">
      <c r="A87" s="4" t="s">
        <v>887</v>
      </c>
      <c r="B87" s="4" t="s">
        <v>888</v>
      </c>
      <c r="C87" s="4" t="s">
        <v>784</v>
      </c>
      <c r="D87" s="4" t="s">
        <v>784</v>
      </c>
      <c r="E87" s="4" t="s">
        <v>879</v>
      </c>
      <c r="F87" s="4" t="s">
        <v>889</v>
      </c>
      <c r="G87" s="5" t="s">
        <v>890</v>
      </c>
      <c r="H87" s="5" t="s">
        <v>891</v>
      </c>
      <c r="I87" s="5" t="s">
        <v>892</v>
      </c>
      <c r="J87" s="5" t="s">
        <v>893</v>
      </c>
      <c r="K87" s="4" t="s">
        <v>55</v>
      </c>
      <c r="L87" s="4" t="n">
        <v>10</v>
      </c>
      <c r="M87" s="4" t="n">
        <v>1</v>
      </c>
      <c r="N87" s="4" t="s">
        <v>33</v>
      </c>
      <c r="O87" s="5" t="s">
        <v>894</v>
      </c>
      <c r="P87" s="5" t="s">
        <v>894</v>
      </c>
      <c r="Q87" s="5"/>
      <c r="R87" s="5" t="s">
        <v>895</v>
      </c>
      <c r="S87" s="4" t="n">
        <f aca="false">COUNTIF(Contacts!$A:$A,A87)</f>
        <v>2</v>
      </c>
      <c r="T87" s="6"/>
      <c r="U87" s="6"/>
      <c r="V87" s="6"/>
      <c r="W87" s="6"/>
      <c r="X87" s="6"/>
      <c r="Y87" s="6"/>
      <c r="Z87" s="6"/>
      <c r="AA87" s="6"/>
      <c r="AB87" s="7"/>
    </row>
    <row r="88" customFormat="false" ht="46.25" hidden="false" customHeight="false" outlineLevel="0" collapsed="false">
      <c r="A88" s="4" t="s">
        <v>896</v>
      </c>
      <c r="B88" s="4" t="s">
        <v>897</v>
      </c>
      <c r="C88" s="4" t="s">
        <v>784</v>
      </c>
      <c r="D88" s="4" t="s">
        <v>784</v>
      </c>
      <c r="E88" s="4" t="s">
        <v>879</v>
      </c>
      <c r="F88" s="4" t="s">
        <v>898</v>
      </c>
      <c r="G88" s="5" t="s">
        <v>899</v>
      </c>
      <c r="H88" s="5" t="s">
        <v>900</v>
      </c>
      <c r="I88" s="5" t="s">
        <v>901</v>
      </c>
      <c r="J88" s="5" t="s">
        <v>902</v>
      </c>
      <c r="K88" s="4" t="s">
        <v>138</v>
      </c>
      <c r="L88" s="4" t="n">
        <v>9</v>
      </c>
      <c r="M88" s="4" t="n">
        <v>1</v>
      </c>
      <c r="N88" s="4" t="s">
        <v>33</v>
      </c>
      <c r="O88" s="5" t="s">
        <v>903</v>
      </c>
      <c r="P88" s="5" t="s">
        <v>903</v>
      </c>
      <c r="Q88" s="5" t="s">
        <v>801</v>
      </c>
      <c r="R88" s="5" t="s">
        <v>904</v>
      </c>
      <c r="S88" s="4" t="n">
        <f aca="false">COUNTIF(Contacts!$A:$A,A88)</f>
        <v>2</v>
      </c>
      <c r="T88" s="6"/>
      <c r="U88" s="6"/>
      <c r="V88" s="6"/>
      <c r="W88" s="6"/>
      <c r="X88" s="6"/>
      <c r="Y88" s="6"/>
      <c r="Z88" s="6"/>
      <c r="AA88" s="6"/>
      <c r="AB88" s="7"/>
    </row>
    <row r="89" customFormat="false" ht="57.45" hidden="false" customHeight="false" outlineLevel="0" collapsed="false">
      <c r="A89" s="4" t="s">
        <v>905</v>
      </c>
      <c r="B89" s="4" t="s">
        <v>906</v>
      </c>
      <c r="C89" s="4" t="s">
        <v>784</v>
      </c>
      <c r="D89" s="4" t="s">
        <v>784</v>
      </c>
      <c r="E89" s="4" t="s">
        <v>879</v>
      </c>
      <c r="F89" s="4" t="s">
        <v>907</v>
      </c>
      <c r="G89" s="5" t="s">
        <v>908</v>
      </c>
      <c r="H89" s="5" t="s">
        <v>909</v>
      </c>
      <c r="I89" s="5" t="s">
        <v>910</v>
      </c>
      <c r="J89" s="5" t="s">
        <v>911</v>
      </c>
      <c r="K89" s="4" t="s">
        <v>912</v>
      </c>
      <c r="L89" s="4" t="n">
        <v>9</v>
      </c>
      <c r="M89" s="4" t="n">
        <v>1</v>
      </c>
      <c r="N89" s="4" t="s">
        <v>33</v>
      </c>
      <c r="O89" s="5" t="s">
        <v>913</v>
      </c>
      <c r="P89" s="5" t="s">
        <v>913</v>
      </c>
      <c r="Q89" s="5"/>
      <c r="R89" s="5" t="s">
        <v>914</v>
      </c>
      <c r="S89" s="4" t="n">
        <f aca="false">COUNTIF(Contacts!$A:$A,A89)</f>
        <v>2</v>
      </c>
      <c r="T89" s="6"/>
      <c r="U89" s="6"/>
      <c r="V89" s="6"/>
      <c r="W89" s="6"/>
      <c r="X89" s="6"/>
      <c r="Y89" s="6"/>
      <c r="Z89" s="6"/>
      <c r="AA89" s="6"/>
      <c r="AB89" s="7"/>
    </row>
    <row r="90" customFormat="false" ht="57.45" hidden="false" customHeight="false" outlineLevel="0" collapsed="false">
      <c r="A90" s="4" t="s">
        <v>915</v>
      </c>
      <c r="B90" s="4" t="s">
        <v>916</v>
      </c>
      <c r="C90" s="4" t="s">
        <v>917</v>
      </c>
      <c r="D90" s="4" t="s">
        <v>784</v>
      </c>
      <c r="E90" s="4" t="s">
        <v>879</v>
      </c>
      <c r="F90" s="4" t="s">
        <v>918</v>
      </c>
      <c r="G90" s="5" t="s">
        <v>919</v>
      </c>
      <c r="H90" s="5" t="s">
        <v>920</v>
      </c>
      <c r="I90" s="5" t="s">
        <v>921</v>
      </c>
      <c r="J90" s="5" t="s">
        <v>922</v>
      </c>
      <c r="K90" s="4" t="s">
        <v>923</v>
      </c>
      <c r="L90" s="4" t="n">
        <v>8</v>
      </c>
      <c r="M90" s="4" t="n">
        <v>2</v>
      </c>
      <c r="N90" s="4" t="s">
        <v>33</v>
      </c>
      <c r="O90" s="5" t="s">
        <v>924</v>
      </c>
      <c r="P90" s="5" t="s">
        <v>924</v>
      </c>
      <c r="Q90" s="5" t="s">
        <v>925</v>
      </c>
      <c r="R90" s="5" t="s">
        <v>926</v>
      </c>
      <c r="S90" s="4" t="n">
        <f aca="false">COUNTIF(Contacts!$A:$A,A90)</f>
        <v>2</v>
      </c>
      <c r="T90" s="6"/>
      <c r="U90" s="6"/>
      <c r="V90" s="6"/>
      <c r="W90" s="6"/>
      <c r="X90" s="6"/>
      <c r="Y90" s="6"/>
      <c r="Z90" s="6"/>
      <c r="AA90" s="6"/>
      <c r="AB90" s="7"/>
    </row>
    <row r="91" customFormat="false" ht="46.25" hidden="false" customHeight="false" outlineLevel="0" collapsed="false">
      <c r="A91" s="4" t="s">
        <v>927</v>
      </c>
      <c r="B91" s="4" t="s">
        <v>928</v>
      </c>
      <c r="C91" s="4" t="s">
        <v>784</v>
      </c>
      <c r="D91" s="4" t="s">
        <v>784</v>
      </c>
      <c r="E91" s="4" t="s">
        <v>879</v>
      </c>
      <c r="F91" s="4" t="s">
        <v>929</v>
      </c>
      <c r="G91" s="5" t="s">
        <v>930</v>
      </c>
      <c r="H91" s="5" t="s">
        <v>931</v>
      </c>
      <c r="I91" s="5" t="s">
        <v>932</v>
      </c>
      <c r="J91" s="5" t="s">
        <v>933</v>
      </c>
      <c r="K91" s="4" t="s">
        <v>276</v>
      </c>
      <c r="L91" s="4" t="n">
        <v>8</v>
      </c>
      <c r="M91" s="4" t="n">
        <v>2</v>
      </c>
      <c r="N91" s="4" t="s">
        <v>33</v>
      </c>
      <c r="O91" s="5" t="s">
        <v>934</v>
      </c>
      <c r="P91" s="5" t="s">
        <v>934</v>
      </c>
      <c r="Q91" s="5" t="s">
        <v>848</v>
      </c>
      <c r="R91" s="5" t="s">
        <v>935</v>
      </c>
      <c r="S91" s="4" t="n">
        <f aca="false">COUNTIF(Contacts!$A:$A,A91)</f>
        <v>2</v>
      </c>
      <c r="T91" s="6"/>
      <c r="U91" s="6"/>
      <c r="V91" s="6"/>
      <c r="W91" s="6"/>
      <c r="X91" s="6"/>
      <c r="Y91" s="6"/>
      <c r="Z91" s="6"/>
      <c r="AA91" s="6"/>
      <c r="AB91" s="7"/>
    </row>
    <row r="92" customFormat="false" ht="35.05" hidden="false" customHeight="false" outlineLevel="0" collapsed="false">
      <c r="A92" s="4" t="s">
        <v>936</v>
      </c>
      <c r="B92" s="4" t="s">
        <v>937</v>
      </c>
      <c r="C92" s="4" t="s">
        <v>784</v>
      </c>
      <c r="D92" s="4" t="s">
        <v>784</v>
      </c>
      <c r="E92" s="4" t="s">
        <v>879</v>
      </c>
      <c r="F92" s="4" t="s">
        <v>938</v>
      </c>
      <c r="G92" s="5" t="s">
        <v>939</v>
      </c>
      <c r="H92" s="5" t="s">
        <v>940</v>
      </c>
      <c r="I92" s="5" t="s">
        <v>941</v>
      </c>
      <c r="J92" s="5" t="s">
        <v>942</v>
      </c>
      <c r="K92" s="4" t="s">
        <v>943</v>
      </c>
      <c r="L92" s="4" t="n">
        <v>8</v>
      </c>
      <c r="M92" s="4" t="n">
        <v>2</v>
      </c>
      <c r="N92" s="4" t="s">
        <v>33</v>
      </c>
      <c r="O92" s="5" t="s">
        <v>944</v>
      </c>
      <c r="P92" s="5" t="s">
        <v>944</v>
      </c>
      <c r="Q92" s="5"/>
      <c r="R92" s="5" t="s">
        <v>945</v>
      </c>
      <c r="S92" s="4" t="n">
        <f aca="false">COUNTIF(Contacts!$A:$A,A92)</f>
        <v>1</v>
      </c>
      <c r="T92" s="6"/>
      <c r="U92" s="6"/>
      <c r="V92" s="6"/>
      <c r="W92" s="6"/>
      <c r="X92" s="6"/>
      <c r="Y92" s="6"/>
      <c r="Z92" s="6"/>
      <c r="AA92" s="6"/>
      <c r="AB92" s="7"/>
    </row>
    <row r="93" customFormat="false" ht="35.05" hidden="false" customHeight="false" outlineLevel="0" collapsed="false">
      <c r="A93" s="4" t="s">
        <v>946</v>
      </c>
      <c r="B93" s="4" t="s">
        <v>947</v>
      </c>
      <c r="C93" s="4" t="s">
        <v>784</v>
      </c>
      <c r="D93" s="4" t="s">
        <v>784</v>
      </c>
      <c r="E93" s="4" t="s">
        <v>879</v>
      </c>
      <c r="F93" s="4" t="s">
        <v>948</v>
      </c>
      <c r="G93" s="5" t="s">
        <v>949</v>
      </c>
      <c r="H93" s="5" t="s">
        <v>950</v>
      </c>
      <c r="I93" s="5" t="s">
        <v>951</v>
      </c>
      <c r="J93" s="5" t="s">
        <v>952</v>
      </c>
      <c r="K93" s="4" t="s">
        <v>636</v>
      </c>
      <c r="L93" s="4" t="n">
        <v>7</v>
      </c>
      <c r="M93" s="4" t="n">
        <v>3</v>
      </c>
      <c r="N93" s="4" t="s">
        <v>33</v>
      </c>
      <c r="O93" s="5" t="s">
        <v>953</v>
      </c>
      <c r="P93" s="5" t="s">
        <v>953</v>
      </c>
      <c r="Q93" s="5" t="s">
        <v>954</v>
      </c>
      <c r="R93" s="5" t="s">
        <v>955</v>
      </c>
      <c r="S93" s="4" t="n">
        <f aca="false">COUNTIF(Contacts!$A:$A,A93)</f>
        <v>1</v>
      </c>
      <c r="T93" s="6"/>
      <c r="U93" s="6"/>
      <c r="V93" s="6"/>
      <c r="W93" s="6"/>
      <c r="X93" s="6"/>
      <c r="Y93" s="6"/>
      <c r="Z93" s="6"/>
      <c r="AA93" s="6"/>
      <c r="AB93" s="7"/>
    </row>
    <row r="94" customFormat="false" ht="46.25" hidden="false" customHeight="false" outlineLevel="0" collapsed="false">
      <c r="A94" s="4" t="s">
        <v>956</v>
      </c>
      <c r="B94" s="4" t="s">
        <v>957</v>
      </c>
      <c r="C94" s="4" t="s">
        <v>784</v>
      </c>
      <c r="D94" s="4" t="s">
        <v>784</v>
      </c>
      <c r="E94" s="4" t="s">
        <v>879</v>
      </c>
      <c r="F94" s="4" t="s">
        <v>958</v>
      </c>
      <c r="G94" s="5" t="s">
        <v>959</v>
      </c>
      <c r="H94" s="5" t="s">
        <v>960</v>
      </c>
      <c r="I94" s="5" t="s">
        <v>961</v>
      </c>
      <c r="J94" s="5" t="s">
        <v>962</v>
      </c>
      <c r="K94" s="4" t="s">
        <v>608</v>
      </c>
      <c r="L94" s="4" t="n">
        <v>7</v>
      </c>
      <c r="M94" s="4" t="n">
        <v>3</v>
      </c>
      <c r="N94" s="4" t="s">
        <v>33</v>
      </c>
      <c r="O94" s="5" t="s">
        <v>963</v>
      </c>
      <c r="P94" s="5" t="s">
        <v>963</v>
      </c>
      <c r="Q94" s="5" t="s">
        <v>848</v>
      </c>
      <c r="R94" s="5" t="s">
        <v>964</v>
      </c>
      <c r="S94" s="4" t="n">
        <f aca="false">COUNTIF(Contacts!$A:$A,A94)</f>
        <v>1</v>
      </c>
      <c r="T94" s="6"/>
      <c r="U94" s="6"/>
      <c r="V94" s="6"/>
      <c r="W94" s="6"/>
      <c r="X94" s="6"/>
      <c r="Y94" s="6"/>
      <c r="Z94" s="6"/>
      <c r="AA94" s="6"/>
      <c r="AB94" s="7"/>
    </row>
    <row r="95" customFormat="false" ht="68.65" hidden="false" customHeight="false" outlineLevel="0" collapsed="false">
      <c r="A95" s="4" t="s">
        <v>965</v>
      </c>
      <c r="B95" s="4" t="s">
        <v>966</v>
      </c>
      <c r="C95" s="4" t="s">
        <v>784</v>
      </c>
      <c r="D95" s="4" t="s">
        <v>784</v>
      </c>
      <c r="E95" s="4" t="s">
        <v>967</v>
      </c>
      <c r="F95" s="4" t="s">
        <v>968</v>
      </c>
      <c r="G95" s="5" t="s">
        <v>969</v>
      </c>
      <c r="H95" s="5" t="s">
        <v>970</v>
      </c>
      <c r="I95" s="5" t="s">
        <v>971</v>
      </c>
      <c r="J95" s="5" t="s">
        <v>972</v>
      </c>
      <c r="K95" s="4" t="s">
        <v>55</v>
      </c>
      <c r="L95" s="4" t="n">
        <v>10</v>
      </c>
      <c r="M95" s="4" t="n">
        <v>1</v>
      </c>
      <c r="N95" s="4" t="s">
        <v>33</v>
      </c>
      <c r="O95" s="5" t="s">
        <v>973</v>
      </c>
      <c r="P95" s="5" t="s">
        <v>973</v>
      </c>
      <c r="Q95" s="5"/>
      <c r="R95" s="5" t="s">
        <v>974</v>
      </c>
      <c r="S95" s="4" t="n">
        <f aca="false">COUNTIF(Contacts!$A:$A,A95)</f>
        <v>1</v>
      </c>
      <c r="T95" s="6"/>
      <c r="U95" s="6"/>
      <c r="V95" s="6"/>
      <c r="W95" s="6"/>
      <c r="X95" s="6"/>
      <c r="Y95" s="6"/>
      <c r="Z95" s="6"/>
      <c r="AA95" s="6"/>
      <c r="AB95" s="7"/>
    </row>
    <row r="96" customFormat="false" ht="46.25" hidden="false" customHeight="false" outlineLevel="0" collapsed="false">
      <c r="A96" s="4" t="s">
        <v>975</v>
      </c>
      <c r="B96" s="4" t="s">
        <v>976</v>
      </c>
      <c r="C96" s="4" t="s">
        <v>784</v>
      </c>
      <c r="D96" s="4" t="s">
        <v>784</v>
      </c>
      <c r="E96" s="4" t="s">
        <v>967</v>
      </c>
      <c r="F96" s="4" t="s">
        <v>653</v>
      </c>
      <c r="G96" s="5" t="s">
        <v>977</v>
      </c>
      <c r="H96" s="5" t="s">
        <v>978</v>
      </c>
      <c r="I96" s="5" t="s">
        <v>979</v>
      </c>
      <c r="J96" s="5" t="s">
        <v>980</v>
      </c>
      <c r="K96" s="4" t="s">
        <v>912</v>
      </c>
      <c r="L96" s="4" t="n">
        <v>9</v>
      </c>
      <c r="M96" s="4" t="n">
        <v>1</v>
      </c>
      <c r="N96" s="4" t="s">
        <v>33</v>
      </c>
      <c r="O96" s="5" t="s">
        <v>981</v>
      </c>
      <c r="P96" s="5" t="s">
        <v>981</v>
      </c>
      <c r="Q96" s="5"/>
      <c r="R96" s="5" t="s">
        <v>982</v>
      </c>
      <c r="S96" s="4" t="n">
        <f aca="false">COUNTIF(Contacts!$A:$A,A96)</f>
        <v>1</v>
      </c>
      <c r="T96" s="6"/>
      <c r="U96" s="6"/>
      <c r="V96" s="6"/>
      <c r="W96" s="6"/>
      <c r="X96" s="6"/>
      <c r="Y96" s="6"/>
      <c r="Z96" s="6"/>
      <c r="AA96" s="6"/>
      <c r="AB96" s="7"/>
    </row>
    <row r="97" customFormat="false" ht="46.25" hidden="false" customHeight="false" outlineLevel="0" collapsed="false">
      <c r="A97" s="4" t="s">
        <v>983</v>
      </c>
      <c r="B97" s="4" t="s">
        <v>984</v>
      </c>
      <c r="C97" s="4" t="s">
        <v>985</v>
      </c>
      <c r="D97" s="4" t="s">
        <v>784</v>
      </c>
      <c r="E97" s="4" t="s">
        <v>967</v>
      </c>
      <c r="F97" s="4" t="s">
        <v>986</v>
      </c>
      <c r="G97" s="5" t="s">
        <v>987</v>
      </c>
      <c r="H97" s="5" t="s">
        <v>988</v>
      </c>
      <c r="I97" s="5" t="s">
        <v>989</v>
      </c>
      <c r="J97" s="5" t="s">
        <v>990</v>
      </c>
      <c r="K97" s="4" t="s">
        <v>147</v>
      </c>
      <c r="L97" s="4" t="n">
        <v>9</v>
      </c>
      <c r="M97" s="4" t="n">
        <v>1</v>
      </c>
      <c r="N97" s="4" t="s">
        <v>33</v>
      </c>
      <c r="O97" s="5" t="s">
        <v>991</v>
      </c>
      <c r="P97" s="5" t="s">
        <v>991</v>
      </c>
      <c r="Q97" s="5" t="s">
        <v>992</v>
      </c>
      <c r="R97" s="5" t="s">
        <v>993</v>
      </c>
      <c r="S97" s="4" t="n">
        <f aca="false">COUNTIF(Contacts!$A:$A,A97)</f>
        <v>1</v>
      </c>
      <c r="T97" s="6"/>
      <c r="U97" s="6"/>
      <c r="V97" s="6"/>
      <c r="W97" s="6"/>
      <c r="X97" s="6"/>
      <c r="Y97" s="6"/>
      <c r="Z97" s="6"/>
      <c r="AA97" s="6"/>
      <c r="AB97" s="7"/>
    </row>
    <row r="98" customFormat="false" ht="46.25" hidden="false" customHeight="false" outlineLevel="0" collapsed="false">
      <c r="A98" s="4" t="s">
        <v>994</v>
      </c>
      <c r="B98" s="4" t="s">
        <v>995</v>
      </c>
      <c r="C98" s="4" t="s">
        <v>784</v>
      </c>
      <c r="D98" s="4" t="s">
        <v>784</v>
      </c>
      <c r="E98" s="4" t="s">
        <v>967</v>
      </c>
      <c r="F98" s="4" t="s">
        <v>996</v>
      </c>
      <c r="G98" s="5" t="s">
        <v>997</v>
      </c>
      <c r="H98" s="5" t="s">
        <v>998</v>
      </c>
      <c r="I98" s="5" t="s">
        <v>999</v>
      </c>
      <c r="J98" s="5" t="s">
        <v>1000</v>
      </c>
      <c r="K98" s="4" t="s">
        <v>138</v>
      </c>
      <c r="L98" s="4" t="n">
        <v>9</v>
      </c>
      <c r="M98" s="4" t="n">
        <v>1</v>
      </c>
      <c r="N98" s="4" t="s">
        <v>33</v>
      </c>
      <c r="O98" s="5" t="s">
        <v>1001</v>
      </c>
      <c r="P98" s="5" t="s">
        <v>1001</v>
      </c>
      <c r="Q98" s="5"/>
      <c r="R98" s="5" t="s">
        <v>1002</v>
      </c>
      <c r="S98" s="4" t="n">
        <f aca="false">COUNTIF(Contacts!$A:$A,A98)</f>
        <v>1</v>
      </c>
      <c r="T98" s="6"/>
      <c r="U98" s="6"/>
      <c r="V98" s="6"/>
      <c r="W98" s="6"/>
      <c r="X98" s="6"/>
      <c r="Y98" s="6"/>
      <c r="Z98" s="6"/>
      <c r="AA98" s="6"/>
      <c r="AB98" s="7"/>
    </row>
    <row r="99" customFormat="false" ht="35.05" hidden="false" customHeight="false" outlineLevel="0" collapsed="false">
      <c r="A99" s="4" t="s">
        <v>1003</v>
      </c>
      <c r="B99" s="4" t="s">
        <v>1004</v>
      </c>
      <c r="C99" s="4" t="s">
        <v>784</v>
      </c>
      <c r="D99" s="4" t="s">
        <v>784</v>
      </c>
      <c r="E99" s="4" t="s">
        <v>967</v>
      </c>
      <c r="F99" s="4" t="s">
        <v>1005</v>
      </c>
      <c r="G99" s="5" t="s">
        <v>1006</v>
      </c>
      <c r="H99" s="5" t="s">
        <v>1007</v>
      </c>
      <c r="I99" s="5" t="s">
        <v>1008</v>
      </c>
      <c r="J99" s="5" t="s">
        <v>1009</v>
      </c>
      <c r="K99" s="4" t="s">
        <v>276</v>
      </c>
      <c r="L99" s="4" t="n">
        <v>8</v>
      </c>
      <c r="M99" s="4" t="n">
        <v>2</v>
      </c>
      <c r="N99" s="4" t="s">
        <v>33</v>
      </c>
      <c r="O99" s="5" t="s">
        <v>1010</v>
      </c>
      <c r="P99" s="5" t="s">
        <v>1010</v>
      </c>
      <c r="Q99" s="5" t="s">
        <v>848</v>
      </c>
      <c r="R99" s="5" t="s">
        <v>1011</v>
      </c>
      <c r="S99" s="4" t="n">
        <f aca="false">COUNTIF(Contacts!$A:$A,A99)</f>
        <v>1</v>
      </c>
      <c r="T99" s="6"/>
      <c r="U99" s="6"/>
      <c r="V99" s="6"/>
      <c r="W99" s="6"/>
      <c r="X99" s="6"/>
      <c r="Y99" s="6"/>
      <c r="Z99" s="6"/>
      <c r="AA99" s="6"/>
      <c r="AB99" s="7"/>
    </row>
    <row r="100" customFormat="false" ht="35.05" hidden="false" customHeight="false" outlineLevel="0" collapsed="false">
      <c r="A100" s="4" t="s">
        <v>1012</v>
      </c>
      <c r="B100" s="4" t="s">
        <v>1013</v>
      </c>
      <c r="C100" s="4" t="s">
        <v>784</v>
      </c>
      <c r="D100" s="4" t="s">
        <v>784</v>
      </c>
      <c r="E100" s="4" t="s">
        <v>967</v>
      </c>
      <c r="F100" s="4" t="s">
        <v>653</v>
      </c>
      <c r="G100" s="5" t="s">
        <v>1014</v>
      </c>
      <c r="H100" s="5" t="s">
        <v>1015</v>
      </c>
      <c r="I100" s="5" t="s">
        <v>1016</v>
      </c>
      <c r="J100" s="5" t="s">
        <v>1017</v>
      </c>
      <c r="K100" s="4" t="s">
        <v>1018</v>
      </c>
      <c r="L100" s="4" t="n">
        <v>8</v>
      </c>
      <c r="M100" s="4" t="n">
        <v>2</v>
      </c>
      <c r="N100" s="4" t="s">
        <v>33</v>
      </c>
      <c r="O100" s="5" t="s">
        <v>1019</v>
      </c>
      <c r="P100" s="5" t="s">
        <v>1019</v>
      </c>
      <c r="Q100" s="5" t="s">
        <v>1020</v>
      </c>
      <c r="R100" s="5" t="s">
        <v>1021</v>
      </c>
      <c r="S100" s="4" t="n">
        <f aca="false">COUNTIF(Contacts!$A:$A,A100)</f>
        <v>1</v>
      </c>
      <c r="T100" s="6"/>
      <c r="U100" s="6"/>
      <c r="V100" s="6"/>
      <c r="W100" s="6"/>
      <c r="X100" s="6"/>
      <c r="Y100" s="6"/>
      <c r="Z100" s="6"/>
      <c r="AA100" s="6"/>
      <c r="AB100" s="7"/>
    </row>
    <row r="101" customFormat="false" ht="46.25" hidden="false" customHeight="false" outlineLevel="0" collapsed="false">
      <c r="A101" s="4" t="s">
        <v>1022</v>
      </c>
      <c r="B101" s="4" t="s">
        <v>1023</v>
      </c>
      <c r="C101" s="4" t="s">
        <v>784</v>
      </c>
      <c r="D101" s="4" t="s">
        <v>784</v>
      </c>
      <c r="E101" s="4" t="s">
        <v>967</v>
      </c>
      <c r="F101" s="4" t="s">
        <v>1024</v>
      </c>
      <c r="G101" s="5" t="s">
        <v>1025</v>
      </c>
      <c r="H101" s="5" t="s">
        <v>1026</v>
      </c>
      <c r="I101" s="5" t="s">
        <v>1027</v>
      </c>
      <c r="J101" s="5" t="s">
        <v>1028</v>
      </c>
      <c r="K101" s="4" t="s">
        <v>1029</v>
      </c>
      <c r="L101" s="4" t="n">
        <v>8</v>
      </c>
      <c r="M101" s="4" t="n">
        <v>2</v>
      </c>
      <c r="N101" s="4" t="s">
        <v>33</v>
      </c>
      <c r="O101" s="5" t="s">
        <v>1030</v>
      </c>
      <c r="P101" s="5" t="s">
        <v>1030</v>
      </c>
      <c r="Q101" s="5" t="s">
        <v>1031</v>
      </c>
      <c r="R101" s="5" t="s">
        <v>1032</v>
      </c>
      <c r="S101" s="4" t="n">
        <f aca="false">COUNTIF(Contacts!$A:$A,A101)</f>
        <v>1</v>
      </c>
      <c r="T101" s="6"/>
      <c r="U101" s="6"/>
      <c r="V101" s="6"/>
      <c r="W101" s="6"/>
      <c r="X101" s="6"/>
      <c r="Y101" s="6"/>
      <c r="Z101" s="6"/>
      <c r="AA101" s="6"/>
      <c r="AB101" s="7"/>
    </row>
    <row r="102" customFormat="false" ht="46.25" hidden="false" customHeight="false" outlineLevel="0" collapsed="false">
      <c r="A102" s="4" t="s">
        <v>1033</v>
      </c>
      <c r="B102" s="4" t="s">
        <v>1034</v>
      </c>
      <c r="C102" s="4" t="s">
        <v>784</v>
      </c>
      <c r="D102" s="4" t="s">
        <v>784</v>
      </c>
      <c r="E102" s="4" t="s">
        <v>967</v>
      </c>
      <c r="F102" s="4" t="s">
        <v>653</v>
      </c>
      <c r="G102" s="5" t="s">
        <v>1035</v>
      </c>
      <c r="H102" s="5" t="s">
        <v>1036</v>
      </c>
      <c r="I102" s="5" t="s">
        <v>1037</v>
      </c>
      <c r="J102" s="5" t="s">
        <v>1038</v>
      </c>
      <c r="K102" s="4" t="s">
        <v>636</v>
      </c>
      <c r="L102" s="4" t="n">
        <v>7</v>
      </c>
      <c r="M102" s="4" t="n">
        <v>3</v>
      </c>
      <c r="N102" s="4" t="s">
        <v>33</v>
      </c>
      <c r="O102" s="5" t="s">
        <v>1039</v>
      </c>
      <c r="P102" s="5" t="s">
        <v>1039</v>
      </c>
      <c r="Q102" s="5"/>
      <c r="R102" s="5" t="s">
        <v>1040</v>
      </c>
      <c r="S102" s="4" t="n">
        <f aca="false">COUNTIF(Contacts!$A:$A,A102)</f>
        <v>1</v>
      </c>
      <c r="T102" s="6"/>
      <c r="U102" s="6"/>
      <c r="V102" s="6"/>
      <c r="W102" s="6"/>
      <c r="X102" s="6"/>
      <c r="Y102" s="6"/>
      <c r="Z102" s="6"/>
      <c r="AA102" s="6"/>
      <c r="AB102" s="7"/>
    </row>
    <row r="103" customFormat="false" ht="91" hidden="false" customHeight="false" outlineLevel="0" collapsed="false">
      <c r="A103" s="4" t="s">
        <v>1041</v>
      </c>
      <c r="B103" s="4" t="s">
        <v>1042</v>
      </c>
      <c r="C103" s="4" t="s">
        <v>784</v>
      </c>
      <c r="D103" s="4" t="s">
        <v>784</v>
      </c>
      <c r="E103" s="4" t="s">
        <v>967</v>
      </c>
      <c r="F103" s="4" t="s">
        <v>1043</v>
      </c>
      <c r="G103" s="5" t="s">
        <v>1044</v>
      </c>
      <c r="H103" s="5" t="s">
        <v>1045</v>
      </c>
      <c r="I103" s="5" t="s">
        <v>1046</v>
      </c>
      <c r="J103" s="5" t="s">
        <v>1047</v>
      </c>
      <c r="K103" s="4" t="s">
        <v>1048</v>
      </c>
      <c r="L103" s="4" t="n">
        <v>7</v>
      </c>
      <c r="M103" s="4" t="n">
        <v>3</v>
      </c>
      <c r="N103" s="4" t="s">
        <v>33</v>
      </c>
      <c r="O103" s="5" t="s">
        <v>1049</v>
      </c>
      <c r="P103" s="5" t="s">
        <v>1049</v>
      </c>
      <c r="Q103" s="5" t="s">
        <v>1050</v>
      </c>
      <c r="R103" s="5" t="s">
        <v>1051</v>
      </c>
      <c r="S103" s="4" t="n">
        <f aca="false">COUNTIF(Contacts!$A:$A,A103)</f>
        <v>1</v>
      </c>
      <c r="T103" s="6"/>
      <c r="U103" s="6"/>
      <c r="V103" s="6"/>
      <c r="W103" s="6"/>
      <c r="X103" s="6"/>
      <c r="Y103" s="6"/>
      <c r="Z103" s="6"/>
      <c r="AA103" s="6"/>
      <c r="AB103" s="7"/>
    </row>
  </sheetData>
  <autoFilter ref="A1:AB1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30"/>
    <col collapsed="false" customWidth="true" hidden="false" outlineLevel="0" max="4" min="4" style="0" width="40"/>
    <col collapsed="false" customWidth="true" hidden="false" outlineLevel="0" max="5" min="5" style="0" width="44"/>
    <col collapsed="false" customWidth="true" hidden="false" outlineLevel="0" max="7" min="6" style="0" width="11"/>
    <col collapsed="false" customWidth="true" hidden="false" outlineLevel="0" max="8" min="8" style="0" width="70"/>
    <col collapsed="false" customWidth="true" hidden="false" outlineLevel="0" max="9" min="9" style="0" width="16"/>
    <col collapsed="false" customWidth="true" hidden="false" outlineLevel="0" max="10" min="10" style="0" width="30"/>
  </cols>
  <sheetData>
    <row r="1" customFormat="false" ht="15" hidden="false" customHeight="false" outlineLevel="0" collapsed="false">
      <c r="A1" s="1" t="s">
        <v>0</v>
      </c>
      <c r="B1" s="1" t="s">
        <v>1052</v>
      </c>
      <c r="C1" s="1" t="s">
        <v>1053</v>
      </c>
      <c r="D1" s="1" t="s">
        <v>1054</v>
      </c>
      <c r="E1" s="1" t="s">
        <v>1055</v>
      </c>
      <c r="F1" s="1" t="s">
        <v>1056</v>
      </c>
      <c r="G1" s="1" t="s">
        <v>1057</v>
      </c>
      <c r="H1" s="1" t="s">
        <v>1058</v>
      </c>
      <c r="I1" s="1" t="s">
        <v>1059</v>
      </c>
      <c r="J1" s="1" t="s">
        <v>27</v>
      </c>
    </row>
    <row r="2" customFormat="false" ht="35.05" hidden="false" customHeight="false" outlineLevel="0" collapsed="false">
      <c r="A2" s="4" t="s">
        <v>179</v>
      </c>
      <c r="B2" s="4" t="s">
        <v>1060</v>
      </c>
      <c r="C2" s="5" t="s">
        <v>1061</v>
      </c>
      <c r="D2" s="5"/>
      <c r="E2" s="4" t="s">
        <v>1062</v>
      </c>
      <c r="F2" s="4"/>
      <c r="G2" s="4" t="s">
        <v>41</v>
      </c>
      <c r="H2" s="5" t="s">
        <v>1063</v>
      </c>
      <c r="I2" s="6"/>
      <c r="J2" s="6"/>
    </row>
    <row r="3" customFormat="false" ht="35.05" hidden="false" customHeight="false" outlineLevel="0" collapsed="false">
      <c r="A3" s="4" t="s">
        <v>189</v>
      </c>
      <c r="B3" s="4" t="s">
        <v>1064</v>
      </c>
      <c r="C3" s="5" t="s">
        <v>1065</v>
      </c>
      <c r="D3" s="5"/>
      <c r="E3" s="4" t="s">
        <v>1066</v>
      </c>
      <c r="F3" s="4"/>
      <c r="G3" s="4" t="s">
        <v>41</v>
      </c>
      <c r="H3" s="5" t="s">
        <v>1067</v>
      </c>
      <c r="I3" s="6"/>
      <c r="J3" s="6"/>
    </row>
    <row r="4" customFormat="false" ht="35.05" hidden="false" customHeight="false" outlineLevel="0" collapsed="false">
      <c r="A4" s="4" t="s">
        <v>200</v>
      </c>
      <c r="B4" s="4" t="s">
        <v>1068</v>
      </c>
      <c r="C4" s="5" t="s">
        <v>1069</v>
      </c>
      <c r="D4" s="5"/>
      <c r="E4" s="4" t="s">
        <v>1070</v>
      </c>
      <c r="F4" s="4"/>
      <c r="G4" s="4" t="s">
        <v>41</v>
      </c>
      <c r="H4" s="5" t="s">
        <v>1071</v>
      </c>
      <c r="I4" s="6"/>
      <c r="J4" s="6"/>
    </row>
    <row r="5" customFormat="false" ht="35.05" hidden="false" customHeight="false" outlineLevel="0" collapsed="false">
      <c r="A5" s="4" t="s">
        <v>211</v>
      </c>
      <c r="B5" s="4" t="s">
        <v>1072</v>
      </c>
      <c r="C5" s="5" t="s">
        <v>1073</v>
      </c>
      <c r="D5" s="5"/>
      <c r="E5" s="4" t="s">
        <v>1074</v>
      </c>
      <c r="F5" s="4"/>
      <c r="G5" s="4" t="s">
        <v>41</v>
      </c>
      <c r="H5" s="5" t="s">
        <v>1075</v>
      </c>
      <c r="I5" s="6"/>
      <c r="J5" s="6"/>
    </row>
    <row r="6" customFormat="false" ht="35.05" hidden="false" customHeight="false" outlineLevel="0" collapsed="false">
      <c r="A6" s="4" t="s">
        <v>222</v>
      </c>
      <c r="B6" s="4" t="s">
        <v>1076</v>
      </c>
      <c r="C6" s="5" t="s">
        <v>1077</v>
      </c>
      <c r="D6" s="5"/>
      <c r="E6" s="4" t="s">
        <v>1078</v>
      </c>
      <c r="F6" s="4"/>
      <c r="G6" s="4" t="s">
        <v>41</v>
      </c>
      <c r="H6" s="5" t="s">
        <v>1079</v>
      </c>
      <c r="I6" s="6"/>
      <c r="J6" s="6"/>
    </row>
    <row r="7" customFormat="false" ht="35.05" hidden="false" customHeight="false" outlineLevel="0" collapsed="false">
      <c r="A7" s="4" t="s">
        <v>232</v>
      </c>
      <c r="B7" s="4" t="s">
        <v>1080</v>
      </c>
      <c r="C7" s="5" t="s">
        <v>1077</v>
      </c>
      <c r="D7" s="5"/>
      <c r="E7" s="4" t="s">
        <v>1081</v>
      </c>
      <c r="F7" s="4"/>
      <c r="G7" s="4" t="s">
        <v>41</v>
      </c>
      <c r="H7" s="5" t="s">
        <v>1082</v>
      </c>
      <c r="I7" s="6"/>
      <c r="J7" s="6"/>
    </row>
    <row r="8" customFormat="false" ht="35.05" hidden="false" customHeight="false" outlineLevel="0" collapsed="false">
      <c r="A8" s="4" t="s">
        <v>241</v>
      </c>
      <c r="B8" s="4" t="s">
        <v>1083</v>
      </c>
      <c r="C8" s="5" t="s">
        <v>1084</v>
      </c>
      <c r="D8" s="5"/>
      <c r="E8" s="4" t="s">
        <v>1085</v>
      </c>
      <c r="F8" s="4"/>
      <c r="G8" s="4" t="s">
        <v>41</v>
      </c>
      <c r="H8" s="5" t="s">
        <v>1086</v>
      </c>
      <c r="I8" s="6"/>
      <c r="J8" s="6"/>
    </row>
    <row r="9" customFormat="false" ht="35.05" hidden="false" customHeight="false" outlineLevel="0" collapsed="false">
      <c r="A9" s="4" t="s">
        <v>251</v>
      </c>
      <c r="B9" s="4" t="s">
        <v>1087</v>
      </c>
      <c r="C9" s="5" t="s">
        <v>1061</v>
      </c>
      <c r="D9" s="5"/>
      <c r="E9" s="4" t="s">
        <v>1088</v>
      </c>
      <c r="F9" s="4"/>
      <c r="G9" s="4" t="s">
        <v>41</v>
      </c>
      <c r="H9" s="5" t="s">
        <v>1089</v>
      </c>
      <c r="I9" s="6"/>
      <c r="J9" s="6"/>
    </row>
    <row r="10" customFormat="false" ht="35.05" hidden="false" customHeight="false" outlineLevel="0" collapsed="false">
      <c r="A10" s="4" t="s">
        <v>260</v>
      </c>
      <c r="B10" s="4" t="s">
        <v>1090</v>
      </c>
      <c r="C10" s="5" t="s">
        <v>1073</v>
      </c>
      <c r="D10" s="5"/>
      <c r="E10" s="4" t="s">
        <v>1091</v>
      </c>
      <c r="F10" s="4"/>
      <c r="G10" s="4" t="s">
        <v>41</v>
      </c>
      <c r="H10" s="5" t="s">
        <v>1092</v>
      </c>
      <c r="I10" s="6"/>
      <c r="J10" s="6"/>
    </row>
    <row r="11" customFormat="false" ht="35.05" hidden="false" customHeight="false" outlineLevel="0" collapsed="false">
      <c r="A11" s="4" t="s">
        <v>269</v>
      </c>
      <c r="B11" s="4" t="s">
        <v>1093</v>
      </c>
      <c r="C11" s="5" t="s">
        <v>1084</v>
      </c>
      <c r="D11" s="5"/>
      <c r="E11" s="4" t="s">
        <v>1094</v>
      </c>
      <c r="F11" s="4"/>
      <c r="G11" s="4" t="s">
        <v>41</v>
      </c>
      <c r="H11" s="5" t="s">
        <v>1095</v>
      </c>
      <c r="I11" s="6"/>
      <c r="J11" s="6"/>
    </row>
    <row r="12" customFormat="false" ht="35.05" hidden="false" customHeight="false" outlineLevel="0" collapsed="false">
      <c r="A12" s="4" t="s">
        <v>281</v>
      </c>
      <c r="B12" s="4" t="s">
        <v>1096</v>
      </c>
      <c r="C12" s="5" t="s">
        <v>77</v>
      </c>
      <c r="D12" s="5"/>
      <c r="E12" s="4" t="s">
        <v>1097</v>
      </c>
      <c r="F12" s="4"/>
      <c r="G12" s="4" t="s">
        <v>41</v>
      </c>
      <c r="H12" s="5" t="s">
        <v>1098</v>
      </c>
      <c r="I12" s="6"/>
      <c r="J12" s="6"/>
    </row>
    <row r="13" customFormat="false" ht="35.05" hidden="false" customHeight="false" outlineLevel="0" collapsed="false">
      <c r="A13" s="4" t="s">
        <v>292</v>
      </c>
      <c r="B13" s="4" t="s">
        <v>1099</v>
      </c>
      <c r="C13" s="5" t="s">
        <v>1061</v>
      </c>
      <c r="D13" s="5"/>
      <c r="E13" s="4" t="s">
        <v>1100</v>
      </c>
      <c r="F13" s="4"/>
      <c r="G13" s="4" t="s">
        <v>41</v>
      </c>
      <c r="H13" s="5" t="s">
        <v>1101</v>
      </c>
      <c r="I13" s="6"/>
      <c r="J13" s="6"/>
    </row>
    <row r="14" customFormat="false" ht="35.05" hidden="false" customHeight="false" outlineLevel="0" collapsed="false">
      <c r="A14" s="4" t="s">
        <v>303</v>
      </c>
      <c r="B14" s="4" t="s">
        <v>1102</v>
      </c>
      <c r="C14" s="5" t="s">
        <v>1084</v>
      </c>
      <c r="D14" s="5"/>
      <c r="E14" s="4" t="s">
        <v>1103</v>
      </c>
      <c r="F14" s="4"/>
      <c r="G14" s="4" t="s">
        <v>41</v>
      </c>
      <c r="H14" s="5" t="s">
        <v>1104</v>
      </c>
      <c r="I14" s="6"/>
      <c r="J14" s="6"/>
    </row>
    <row r="15" customFormat="false" ht="35.05" hidden="false" customHeight="false" outlineLevel="0" collapsed="false">
      <c r="A15" s="4" t="s">
        <v>314</v>
      </c>
      <c r="B15" s="4" t="s">
        <v>1105</v>
      </c>
      <c r="C15" s="5" t="s">
        <v>77</v>
      </c>
      <c r="D15" s="5"/>
      <c r="E15" s="4" t="s">
        <v>1106</v>
      </c>
      <c r="F15" s="4"/>
      <c r="G15" s="4" t="s">
        <v>41</v>
      </c>
      <c r="H15" s="5" t="s">
        <v>1107</v>
      </c>
      <c r="I15" s="6"/>
      <c r="J15" s="6"/>
    </row>
    <row r="16" customFormat="false" ht="35.05" hidden="false" customHeight="false" outlineLevel="0" collapsed="false">
      <c r="A16" s="4" t="s">
        <v>323</v>
      </c>
      <c r="B16" s="4" t="s">
        <v>1108</v>
      </c>
      <c r="C16" s="5" t="s">
        <v>1077</v>
      </c>
      <c r="D16" s="5"/>
      <c r="E16" s="4" t="s">
        <v>1109</v>
      </c>
      <c r="F16" s="4"/>
      <c r="G16" s="4" t="s">
        <v>41</v>
      </c>
      <c r="H16" s="5" t="s">
        <v>1110</v>
      </c>
      <c r="I16" s="6"/>
      <c r="J16" s="6"/>
    </row>
    <row r="17" customFormat="false" ht="15" hidden="false" customHeight="false" outlineLevel="0" collapsed="false">
      <c r="A17" s="4" t="s">
        <v>334</v>
      </c>
      <c r="B17" s="4" t="s">
        <v>1111</v>
      </c>
      <c r="C17" s="5" t="s">
        <v>1073</v>
      </c>
      <c r="D17" s="5" t="s">
        <v>1112</v>
      </c>
      <c r="E17" s="4" t="s">
        <v>1113</v>
      </c>
      <c r="F17" s="4" t="s">
        <v>1114</v>
      </c>
      <c r="G17" s="4"/>
      <c r="H17" s="5"/>
      <c r="I17" s="6"/>
      <c r="J17" s="6"/>
    </row>
    <row r="18" customFormat="false" ht="23.85" hidden="false" customHeight="false" outlineLevel="0" collapsed="false">
      <c r="A18" s="4" t="s">
        <v>334</v>
      </c>
      <c r="B18" s="4" t="s">
        <v>1115</v>
      </c>
      <c r="C18" s="5" t="s">
        <v>1116</v>
      </c>
      <c r="D18" s="5" t="s">
        <v>1117</v>
      </c>
      <c r="E18" s="4" t="s">
        <v>1118</v>
      </c>
      <c r="F18" s="4" t="s">
        <v>1119</v>
      </c>
      <c r="G18" s="4"/>
      <c r="H18" s="5"/>
      <c r="I18" s="6"/>
      <c r="J18" s="6"/>
    </row>
    <row r="19" customFormat="false" ht="35.05" hidden="false" customHeight="false" outlineLevel="0" collapsed="false">
      <c r="A19" s="4" t="s">
        <v>344</v>
      </c>
      <c r="B19" s="4" t="s">
        <v>1120</v>
      </c>
      <c r="C19" s="5" t="s">
        <v>1121</v>
      </c>
      <c r="D19" s="5" t="s">
        <v>1122</v>
      </c>
      <c r="E19" s="4" t="s">
        <v>1123</v>
      </c>
      <c r="F19" s="4" t="s">
        <v>1124</v>
      </c>
      <c r="G19" s="4"/>
      <c r="H19" s="5"/>
      <c r="I19" s="6"/>
      <c r="J19" s="6"/>
    </row>
    <row r="20" customFormat="false" ht="15" hidden="false" customHeight="false" outlineLevel="0" collapsed="false">
      <c r="A20" s="4" t="s">
        <v>344</v>
      </c>
      <c r="B20" s="4" t="s">
        <v>1125</v>
      </c>
      <c r="C20" s="5" t="s">
        <v>1126</v>
      </c>
      <c r="D20" s="5" t="s">
        <v>1117</v>
      </c>
      <c r="E20" s="4" t="s">
        <v>1127</v>
      </c>
      <c r="F20" s="4" t="s">
        <v>1119</v>
      </c>
      <c r="G20" s="4"/>
      <c r="H20" s="5"/>
      <c r="I20" s="6"/>
      <c r="J20" s="6"/>
    </row>
    <row r="21" customFormat="false" ht="15" hidden="false" customHeight="false" outlineLevel="0" collapsed="false">
      <c r="A21" s="4" t="s">
        <v>353</v>
      </c>
      <c r="B21" s="4" t="s">
        <v>1128</v>
      </c>
      <c r="C21" s="5" t="s">
        <v>1129</v>
      </c>
      <c r="D21" s="5" t="s">
        <v>1112</v>
      </c>
      <c r="E21" s="4" t="s">
        <v>1130</v>
      </c>
      <c r="F21" s="4" t="s">
        <v>1114</v>
      </c>
      <c r="G21" s="4"/>
      <c r="H21" s="5"/>
      <c r="I21" s="6"/>
      <c r="J21" s="6"/>
    </row>
    <row r="22" customFormat="false" ht="15" hidden="false" customHeight="false" outlineLevel="0" collapsed="false">
      <c r="A22" s="4" t="s">
        <v>353</v>
      </c>
      <c r="B22" s="4" t="s">
        <v>1131</v>
      </c>
      <c r="C22" s="5" t="s">
        <v>1132</v>
      </c>
      <c r="D22" s="5" t="s">
        <v>1133</v>
      </c>
      <c r="E22" s="4" t="s">
        <v>1134</v>
      </c>
      <c r="F22" s="4" t="s">
        <v>1114</v>
      </c>
      <c r="G22" s="4"/>
      <c r="H22" s="5"/>
      <c r="I22" s="6"/>
      <c r="J22" s="6"/>
    </row>
    <row r="23" customFormat="false" ht="23.85" hidden="false" customHeight="false" outlineLevel="0" collapsed="false">
      <c r="A23" s="4" t="s">
        <v>363</v>
      </c>
      <c r="B23" s="4" t="s">
        <v>1135</v>
      </c>
      <c r="C23" s="5" t="s">
        <v>1136</v>
      </c>
      <c r="D23" s="5" t="s">
        <v>1112</v>
      </c>
      <c r="E23" s="4" t="s">
        <v>1137</v>
      </c>
      <c r="F23" s="4" t="s">
        <v>1119</v>
      </c>
      <c r="G23" s="4"/>
      <c r="H23" s="5"/>
      <c r="I23" s="6"/>
      <c r="J23" s="6"/>
    </row>
    <row r="24" customFormat="false" ht="35.05" hidden="false" customHeight="false" outlineLevel="0" collapsed="false">
      <c r="A24" s="4" t="s">
        <v>363</v>
      </c>
      <c r="B24" s="4" t="s">
        <v>1138</v>
      </c>
      <c r="C24" s="5" t="s">
        <v>1139</v>
      </c>
      <c r="D24" s="5" t="s">
        <v>1133</v>
      </c>
      <c r="E24" s="4" t="s">
        <v>1140</v>
      </c>
      <c r="F24" s="4" t="s">
        <v>1124</v>
      </c>
      <c r="G24" s="4"/>
      <c r="H24" s="5"/>
      <c r="I24" s="6"/>
      <c r="J24" s="6"/>
    </row>
    <row r="25" customFormat="false" ht="15" hidden="false" customHeight="false" outlineLevel="0" collapsed="false">
      <c r="A25" s="4" t="s">
        <v>373</v>
      </c>
      <c r="B25" s="4" t="s">
        <v>1141</v>
      </c>
      <c r="C25" s="5" t="s">
        <v>1073</v>
      </c>
      <c r="D25" s="5" t="s">
        <v>1112</v>
      </c>
      <c r="E25" s="4" t="s">
        <v>1142</v>
      </c>
      <c r="F25" s="4" t="s">
        <v>1114</v>
      </c>
      <c r="G25" s="4"/>
      <c r="H25" s="5"/>
      <c r="I25" s="6"/>
      <c r="J25" s="6"/>
    </row>
    <row r="26" customFormat="false" ht="15" hidden="false" customHeight="false" outlineLevel="0" collapsed="false">
      <c r="A26" s="4" t="s">
        <v>373</v>
      </c>
      <c r="B26" s="4" t="s">
        <v>1143</v>
      </c>
      <c r="C26" s="5" t="s">
        <v>1144</v>
      </c>
      <c r="D26" s="5" t="s">
        <v>1133</v>
      </c>
      <c r="E26" s="4" t="s">
        <v>1145</v>
      </c>
      <c r="F26" s="4" t="s">
        <v>1119</v>
      </c>
      <c r="G26" s="4"/>
      <c r="H26" s="5"/>
      <c r="I26" s="6"/>
      <c r="J26" s="6"/>
    </row>
    <row r="27" customFormat="false" ht="15" hidden="false" customHeight="false" outlineLevel="0" collapsed="false">
      <c r="A27" s="4" t="s">
        <v>385</v>
      </c>
      <c r="B27" s="4" t="s">
        <v>1146</v>
      </c>
      <c r="C27" s="5" t="s">
        <v>1147</v>
      </c>
      <c r="D27" s="5" t="s">
        <v>1112</v>
      </c>
      <c r="E27" s="4" t="s">
        <v>1148</v>
      </c>
      <c r="F27" s="4" t="s">
        <v>1114</v>
      </c>
      <c r="G27" s="4"/>
      <c r="H27" s="5"/>
      <c r="I27" s="6"/>
      <c r="J27" s="6"/>
    </row>
    <row r="28" customFormat="false" ht="15" hidden="false" customHeight="false" outlineLevel="0" collapsed="false">
      <c r="A28" s="4" t="s">
        <v>385</v>
      </c>
      <c r="B28" s="4" t="s">
        <v>1149</v>
      </c>
      <c r="C28" s="5" t="s">
        <v>1144</v>
      </c>
      <c r="D28" s="5" t="s">
        <v>1133</v>
      </c>
      <c r="E28" s="4" t="s">
        <v>1150</v>
      </c>
      <c r="F28" s="4" t="s">
        <v>1114</v>
      </c>
      <c r="G28" s="4"/>
      <c r="H28" s="5"/>
      <c r="I28" s="6"/>
      <c r="J28" s="6"/>
    </row>
    <row r="29" customFormat="false" ht="15" hidden="false" customHeight="false" outlineLevel="0" collapsed="false">
      <c r="A29" s="4" t="s">
        <v>395</v>
      </c>
      <c r="B29" s="4" t="s">
        <v>1151</v>
      </c>
      <c r="C29" s="5" t="s">
        <v>1084</v>
      </c>
      <c r="D29" s="5" t="s">
        <v>1112</v>
      </c>
      <c r="E29" s="4" t="s">
        <v>1152</v>
      </c>
      <c r="F29" s="4" t="s">
        <v>1114</v>
      </c>
      <c r="G29" s="4"/>
      <c r="H29" s="5"/>
      <c r="I29" s="6"/>
      <c r="J29" s="6"/>
    </row>
    <row r="30" customFormat="false" ht="15" hidden="false" customHeight="false" outlineLevel="0" collapsed="false">
      <c r="A30" s="4" t="s">
        <v>395</v>
      </c>
      <c r="B30" s="4" t="s">
        <v>1153</v>
      </c>
      <c r="C30" s="5" t="s">
        <v>1154</v>
      </c>
      <c r="D30" s="5" t="s">
        <v>1133</v>
      </c>
      <c r="E30" s="4" t="s">
        <v>1155</v>
      </c>
      <c r="F30" s="4" t="s">
        <v>1119</v>
      </c>
      <c r="G30" s="4"/>
      <c r="H30" s="5"/>
      <c r="I30" s="6"/>
      <c r="J30" s="6"/>
    </row>
    <row r="31" customFormat="false" ht="23.85" hidden="false" customHeight="false" outlineLevel="0" collapsed="false">
      <c r="A31" s="4" t="s">
        <v>404</v>
      </c>
      <c r="B31" s="4" t="s">
        <v>1156</v>
      </c>
      <c r="C31" s="5" t="s">
        <v>1157</v>
      </c>
      <c r="D31" s="5" t="s">
        <v>1112</v>
      </c>
      <c r="E31" s="4" t="s">
        <v>1158</v>
      </c>
      <c r="F31" s="4" t="s">
        <v>1114</v>
      </c>
      <c r="G31" s="4"/>
      <c r="H31" s="5"/>
      <c r="I31" s="6"/>
      <c r="J31" s="6"/>
    </row>
    <row r="32" customFormat="false" ht="35.05" hidden="false" customHeight="false" outlineLevel="0" collapsed="false">
      <c r="A32" s="4" t="s">
        <v>404</v>
      </c>
      <c r="B32" s="4" t="s">
        <v>1138</v>
      </c>
      <c r="C32" s="5" t="s">
        <v>1159</v>
      </c>
      <c r="D32" s="5" t="s">
        <v>1133</v>
      </c>
      <c r="E32" s="4" t="s">
        <v>1160</v>
      </c>
      <c r="F32" s="4" t="s">
        <v>1124</v>
      </c>
      <c r="G32" s="4"/>
      <c r="H32" s="5"/>
      <c r="I32" s="6"/>
      <c r="J32" s="6"/>
    </row>
    <row r="33" customFormat="false" ht="35.05" hidden="false" customHeight="false" outlineLevel="0" collapsed="false">
      <c r="A33" s="4" t="s">
        <v>414</v>
      </c>
      <c r="B33" s="4" t="s">
        <v>1161</v>
      </c>
      <c r="C33" s="5" t="s">
        <v>1162</v>
      </c>
      <c r="D33" s="5" t="s">
        <v>1122</v>
      </c>
      <c r="E33" s="4" t="s">
        <v>1163</v>
      </c>
      <c r="F33" s="4" t="s">
        <v>1124</v>
      </c>
      <c r="G33" s="4"/>
      <c r="H33" s="5"/>
      <c r="I33" s="6"/>
      <c r="J33" s="6"/>
    </row>
    <row r="34" customFormat="false" ht="15" hidden="false" customHeight="false" outlineLevel="0" collapsed="false">
      <c r="A34" s="4" t="s">
        <v>414</v>
      </c>
      <c r="B34" s="4" t="s">
        <v>1164</v>
      </c>
      <c r="C34" s="5" t="s">
        <v>1144</v>
      </c>
      <c r="D34" s="5" t="s">
        <v>1133</v>
      </c>
      <c r="E34" s="4" t="s">
        <v>1165</v>
      </c>
      <c r="F34" s="4" t="s">
        <v>1119</v>
      </c>
      <c r="G34" s="4"/>
      <c r="H34" s="5"/>
      <c r="I34" s="6"/>
      <c r="J34" s="6"/>
    </row>
    <row r="35" customFormat="false" ht="15" hidden="false" customHeight="false" outlineLevel="0" collapsed="false">
      <c r="A35" s="4" t="s">
        <v>423</v>
      </c>
      <c r="B35" s="4" t="s">
        <v>1166</v>
      </c>
      <c r="C35" s="5" t="s">
        <v>1167</v>
      </c>
      <c r="D35" s="5" t="s">
        <v>1112</v>
      </c>
      <c r="E35" s="4" t="s">
        <v>1168</v>
      </c>
      <c r="F35" s="4" t="s">
        <v>1114</v>
      </c>
      <c r="G35" s="4"/>
      <c r="H35" s="5"/>
      <c r="I35" s="6"/>
      <c r="J35" s="6"/>
    </row>
    <row r="36" customFormat="false" ht="15" hidden="false" customHeight="false" outlineLevel="0" collapsed="false">
      <c r="A36" s="4" t="s">
        <v>423</v>
      </c>
      <c r="B36" s="4" t="s">
        <v>1169</v>
      </c>
      <c r="C36" s="5" t="s">
        <v>1132</v>
      </c>
      <c r="D36" s="5" t="s">
        <v>1133</v>
      </c>
      <c r="E36" s="4" t="s">
        <v>1170</v>
      </c>
      <c r="F36" s="4" t="s">
        <v>1114</v>
      </c>
      <c r="G36" s="4"/>
      <c r="H36" s="5"/>
      <c r="I36" s="6"/>
      <c r="J36" s="6"/>
    </row>
    <row r="37" customFormat="false" ht="35.05" hidden="false" customHeight="false" outlineLevel="0" collapsed="false">
      <c r="A37" s="4" t="s">
        <v>434</v>
      </c>
      <c r="B37" s="4" t="s">
        <v>1171</v>
      </c>
      <c r="C37" s="5" t="s">
        <v>1172</v>
      </c>
      <c r="D37" s="5" t="s">
        <v>1112</v>
      </c>
      <c r="E37" s="4" t="s">
        <v>1173</v>
      </c>
      <c r="F37" s="4" t="s">
        <v>1114</v>
      </c>
      <c r="G37" s="4"/>
      <c r="H37" s="5"/>
      <c r="I37" s="6"/>
      <c r="J37" s="6"/>
    </row>
    <row r="38" customFormat="false" ht="15" hidden="false" customHeight="false" outlineLevel="0" collapsed="false">
      <c r="A38" s="4" t="s">
        <v>434</v>
      </c>
      <c r="B38" s="4" t="s">
        <v>1174</v>
      </c>
      <c r="C38" s="5" t="s">
        <v>1154</v>
      </c>
      <c r="D38" s="5" t="s">
        <v>1133</v>
      </c>
      <c r="E38" s="4" t="s">
        <v>1175</v>
      </c>
      <c r="F38" s="4" t="s">
        <v>1114</v>
      </c>
      <c r="G38" s="4"/>
      <c r="H38" s="5"/>
      <c r="I38" s="6"/>
      <c r="J38" s="6"/>
    </row>
    <row r="39" customFormat="false" ht="15" hidden="false" customHeight="false" outlineLevel="0" collapsed="false">
      <c r="A39" s="4" t="s">
        <v>445</v>
      </c>
      <c r="B39" s="4" t="s">
        <v>1176</v>
      </c>
      <c r="C39" s="5" t="s">
        <v>1167</v>
      </c>
      <c r="D39" s="5" t="s">
        <v>1112</v>
      </c>
      <c r="E39" s="4" t="s">
        <v>1177</v>
      </c>
      <c r="F39" s="4" t="s">
        <v>1114</v>
      </c>
      <c r="G39" s="4"/>
      <c r="H39" s="5"/>
      <c r="I39" s="6"/>
      <c r="J39" s="6"/>
    </row>
    <row r="40" customFormat="false" ht="15" hidden="false" customHeight="false" outlineLevel="0" collapsed="false">
      <c r="A40" s="4" t="s">
        <v>445</v>
      </c>
      <c r="B40" s="4" t="s">
        <v>1178</v>
      </c>
      <c r="C40" s="5" t="s">
        <v>1179</v>
      </c>
      <c r="D40" s="5" t="s">
        <v>1133</v>
      </c>
      <c r="E40" s="4" t="s">
        <v>1180</v>
      </c>
      <c r="F40" s="4" t="s">
        <v>1119</v>
      </c>
      <c r="G40" s="4"/>
      <c r="H40" s="5"/>
      <c r="I40" s="6"/>
      <c r="J40" s="6"/>
    </row>
    <row r="41" customFormat="false" ht="15" hidden="false" customHeight="false" outlineLevel="0" collapsed="false">
      <c r="A41" s="4" t="s">
        <v>454</v>
      </c>
      <c r="B41" s="4" t="s">
        <v>1181</v>
      </c>
      <c r="C41" s="5" t="s">
        <v>1182</v>
      </c>
      <c r="D41" s="5" t="s">
        <v>1112</v>
      </c>
      <c r="E41" s="4" t="s">
        <v>1183</v>
      </c>
      <c r="F41" s="4" t="s">
        <v>1114</v>
      </c>
      <c r="G41" s="4"/>
      <c r="H41" s="5"/>
      <c r="I41" s="6"/>
      <c r="J41" s="6"/>
    </row>
    <row r="42" customFormat="false" ht="15" hidden="false" customHeight="false" outlineLevel="0" collapsed="false">
      <c r="A42" s="4" t="s">
        <v>454</v>
      </c>
      <c r="B42" s="4" t="s">
        <v>1184</v>
      </c>
      <c r="C42" s="5" t="s">
        <v>1185</v>
      </c>
      <c r="D42" s="5" t="s">
        <v>1133</v>
      </c>
      <c r="E42" s="4" t="s">
        <v>1186</v>
      </c>
      <c r="F42" s="4" t="s">
        <v>1114</v>
      </c>
      <c r="G42" s="4"/>
      <c r="H42" s="5"/>
      <c r="I42" s="6"/>
      <c r="J42" s="6"/>
    </row>
    <row r="43" customFormat="false" ht="15" hidden="false" customHeight="false" outlineLevel="0" collapsed="false">
      <c r="A43" s="4" t="s">
        <v>465</v>
      </c>
      <c r="B43" s="4" t="s">
        <v>1187</v>
      </c>
      <c r="C43" s="5" t="s">
        <v>1182</v>
      </c>
      <c r="D43" s="5" t="s">
        <v>1112</v>
      </c>
      <c r="E43" s="4" t="s">
        <v>1188</v>
      </c>
      <c r="F43" s="4" t="s">
        <v>1114</v>
      </c>
      <c r="G43" s="4"/>
      <c r="H43" s="5"/>
      <c r="I43" s="6"/>
      <c r="J43" s="6"/>
    </row>
    <row r="44" customFormat="false" ht="23.85" hidden="false" customHeight="false" outlineLevel="0" collapsed="false">
      <c r="A44" s="4" t="s">
        <v>465</v>
      </c>
      <c r="B44" s="4" t="s">
        <v>1189</v>
      </c>
      <c r="C44" s="5" t="s">
        <v>1190</v>
      </c>
      <c r="D44" s="5" t="s">
        <v>1117</v>
      </c>
      <c r="E44" s="4" t="s">
        <v>1191</v>
      </c>
      <c r="F44" s="4" t="s">
        <v>1119</v>
      </c>
      <c r="G44" s="4"/>
      <c r="H44" s="5"/>
      <c r="I44" s="6"/>
      <c r="J44" s="6"/>
    </row>
    <row r="45" customFormat="false" ht="15" hidden="false" customHeight="false" outlineLevel="0" collapsed="false">
      <c r="A45" s="4" t="s">
        <v>474</v>
      </c>
      <c r="B45" s="4" t="s">
        <v>1192</v>
      </c>
      <c r="C45" s="5" t="s">
        <v>1182</v>
      </c>
      <c r="D45" s="5" t="s">
        <v>1112</v>
      </c>
      <c r="E45" s="4" t="s">
        <v>1193</v>
      </c>
      <c r="F45" s="4" t="s">
        <v>1114</v>
      </c>
      <c r="G45" s="4"/>
      <c r="H45" s="5"/>
      <c r="I45" s="6"/>
      <c r="J45" s="6"/>
    </row>
    <row r="46" customFormat="false" ht="15" hidden="false" customHeight="false" outlineLevel="0" collapsed="false">
      <c r="A46" s="4" t="s">
        <v>474</v>
      </c>
      <c r="B46" s="4" t="s">
        <v>1194</v>
      </c>
      <c r="C46" s="5" t="s">
        <v>1185</v>
      </c>
      <c r="D46" s="5" t="s">
        <v>1133</v>
      </c>
      <c r="E46" s="4" t="s">
        <v>1195</v>
      </c>
      <c r="F46" s="4" t="s">
        <v>1114</v>
      </c>
      <c r="G46" s="4"/>
      <c r="H46" s="5"/>
      <c r="I46" s="6"/>
      <c r="J46" s="6"/>
    </row>
    <row r="47" customFormat="false" ht="35.05" hidden="false" customHeight="false" outlineLevel="0" collapsed="false">
      <c r="A47" s="4" t="s">
        <v>483</v>
      </c>
      <c r="B47" s="4" t="s">
        <v>1196</v>
      </c>
      <c r="C47" s="5" t="s">
        <v>1073</v>
      </c>
      <c r="D47" s="5"/>
      <c r="E47" s="4" t="s">
        <v>1197</v>
      </c>
      <c r="F47" s="4"/>
      <c r="G47" s="4"/>
      <c r="H47" s="5" t="s">
        <v>1198</v>
      </c>
      <c r="I47" s="6"/>
      <c r="J47" s="6"/>
    </row>
    <row r="48" customFormat="false" ht="35.05" hidden="false" customHeight="false" outlineLevel="0" collapsed="false">
      <c r="A48" s="4" t="s">
        <v>494</v>
      </c>
      <c r="B48" s="4" t="s">
        <v>1199</v>
      </c>
      <c r="C48" s="5" t="s">
        <v>1182</v>
      </c>
      <c r="D48" s="5"/>
      <c r="E48" s="4" t="s">
        <v>1200</v>
      </c>
      <c r="F48" s="4"/>
      <c r="G48" s="4"/>
      <c r="H48" s="5" t="s">
        <v>1201</v>
      </c>
      <c r="I48" s="6"/>
      <c r="J48" s="6"/>
    </row>
    <row r="49" customFormat="false" ht="35.05" hidden="false" customHeight="false" outlineLevel="0" collapsed="false">
      <c r="A49" s="4" t="s">
        <v>494</v>
      </c>
      <c r="B49" s="4" t="s">
        <v>1202</v>
      </c>
      <c r="C49" s="5" t="s">
        <v>1203</v>
      </c>
      <c r="D49" s="5"/>
      <c r="E49" s="4"/>
      <c r="F49" s="4"/>
      <c r="G49" s="4"/>
      <c r="H49" s="5" t="s">
        <v>1204</v>
      </c>
      <c r="I49" s="6"/>
      <c r="J49" s="6"/>
    </row>
    <row r="50" customFormat="false" ht="35.05" hidden="false" customHeight="false" outlineLevel="0" collapsed="false">
      <c r="A50" s="4" t="s">
        <v>504</v>
      </c>
      <c r="B50" s="4" t="s">
        <v>1205</v>
      </c>
      <c r="C50" s="5" t="s">
        <v>1182</v>
      </c>
      <c r="D50" s="5"/>
      <c r="E50" s="4" t="s">
        <v>1206</v>
      </c>
      <c r="F50" s="4"/>
      <c r="G50" s="4"/>
      <c r="H50" s="5" t="s">
        <v>1207</v>
      </c>
      <c r="I50" s="6"/>
      <c r="J50" s="6"/>
    </row>
    <row r="51" customFormat="false" ht="35.05" hidden="false" customHeight="false" outlineLevel="0" collapsed="false">
      <c r="A51" s="4" t="s">
        <v>513</v>
      </c>
      <c r="B51" s="4" t="s">
        <v>1208</v>
      </c>
      <c r="C51" s="5" t="s">
        <v>1209</v>
      </c>
      <c r="D51" s="5"/>
      <c r="E51" s="4" t="s">
        <v>1210</v>
      </c>
      <c r="F51" s="4"/>
      <c r="G51" s="4"/>
      <c r="H51" s="5" t="s">
        <v>1211</v>
      </c>
      <c r="I51" s="6"/>
      <c r="J51" s="6"/>
    </row>
    <row r="52" customFormat="false" ht="35.05" hidden="false" customHeight="false" outlineLevel="0" collapsed="false">
      <c r="A52" s="4" t="s">
        <v>523</v>
      </c>
      <c r="B52" s="4" t="s">
        <v>1212</v>
      </c>
      <c r="C52" s="5" t="s">
        <v>1209</v>
      </c>
      <c r="D52" s="5"/>
      <c r="E52" s="4" t="s">
        <v>1213</v>
      </c>
      <c r="F52" s="4"/>
      <c r="G52" s="4"/>
      <c r="H52" s="5" t="s">
        <v>1214</v>
      </c>
      <c r="I52" s="6"/>
      <c r="J52" s="6"/>
    </row>
    <row r="53" customFormat="false" ht="35.05" hidden="false" customHeight="false" outlineLevel="0" collapsed="false">
      <c r="A53" s="4" t="s">
        <v>523</v>
      </c>
      <c r="B53" s="4" t="s">
        <v>1215</v>
      </c>
      <c r="C53" s="5" t="s">
        <v>1185</v>
      </c>
      <c r="D53" s="5"/>
      <c r="E53" s="4" t="s">
        <v>1216</v>
      </c>
      <c r="F53" s="4"/>
      <c r="G53" s="4"/>
      <c r="H53" s="5" t="s">
        <v>1217</v>
      </c>
      <c r="I53" s="6"/>
      <c r="J53" s="6"/>
    </row>
    <row r="54" customFormat="false" ht="35.05" hidden="false" customHeight="false" outlineLevel="0" collapsed="false">
      <c r="A54" s="4" t="s">
        <v>532</v>
      </c>
      <c r="B54" s="4" t="s">
        <v>1218</v>
      </c>
      <c r="C54" s="5" t="s">
        <v>1182</v>
      </c>
      <c r="D54" s="5"/>
      <c r="E54" s="4" t="s">
        <v>1219</v>
      </c>
      <c r="F54" s="4"/>
      <c r="G54" s="4"/>
      <c r="H54" s="5" t="s">
        <v>1220</v>
      </c>
      <c r="I54" s="6"/>
      <c r="J54" s="6"/>
    </row>
    <row r="55" customFormat="false" ht="35.05" hidden="false" customHeight="false" outlineLevel="0" collapsed="false">
      <c r="A55" s="4" t="s">
        <v>532</v>
      </c>
      <c r="B55" s="4" t="s">
        <v>1221</v>
      </c>
      <c r="C55" s="5" t="s">
        <v>1154</v>
      </c>
      <c r="D55" s="5"/>
      <c r="E55" s="4" t="s">
        <v>1222</v>
      </c>
      <c r="F55" s="4"/>
      <c r="G55" s="4"/>
      <c r="H55" s="5" t="s">
        <v>1223</v>
      </c>
      <c r="I55" s="6"/>
      <c r="J55" s="6"/>
    </row>
    <row r="56" customFormat="false" ht="35.05" hidden="false" customHeight="false" outlineLevel="0" collapsed="false">
      <c r="A56" s="4" t="s">
        <v>541</v>
      </c>
      <c r="B56" s="4" t="s">
        <v>1224</v>
      </c>
      <c r="C56" s="5" t="s">
        <v>1073</v>
      </c>
      <c r="D56" s="5"/>
      <c r="E56" s="4" t="s">
        <v>1225</v>
      </c>
      <c r="F56" s="4"/>
      <c r="G56" s="4"/>
      <c r="H56" s="5" t="s">
        <v>1226</v>
      </c>
      <c r="I56" s="6"/>
      <c r="J56" s="6"/>
    </row>
    <row r="57" customFormat="false" ht="35.05" hidden="false" customHeight="false" outlineLevel="0" collapsed="false">
      <c r="A57" s="4" t="s">
        <v>541</v>
      </c>
      <c r="B57" s="4" t="s">
        <v>1227</v>
      </c>
      <c r="C57" s="5" t="s">
        <v>1228</v>
      </c>
      <c r="D57" s="5"/>
      <c r="E57" s="4" t="s">
        <v>1229</v>
      </c>
      <c r="F57" s="4"/>
      <c r="G57" s="4"/>
      <c r="H57" s="5" t="s">
        <v>1230</v>
      </c>
      <c r="I57" s="6"/>
      <c r="J57" s="6"/>
    </row>
    <row r="58" customFormat="false" ht="35.05" hidden="false" customHeight="false" outlineLevel="0" collapsed="false">
      <c r="A58" s="4" t="s">
        <v>551</v>
      </c>
      <c r="B58" s="4" t="s">
        <v>1231</v>
      </c>
      <c r="C58" s="5" t="s">
        <v>1182</v>
      </c>
      <c r="D58" s="5"/>
      <c r="E58" s="4" t="s">
        <v>1232</v>
      </c>
      <c r="F58" s="4"/>
      <c r="G58" s="4"/>
      <c r="H58" s="5" t="s">
        <v>1233</v>
      </c>
      <c r="I58" s="6"/>
      <c r="J58" s="6"/>
    </row>
    <row r="59" customFormat="false" ht="35.05" hidden="false" customHeight="false" outlineLevel="0" collapsed="false">
      <c r="A59" s="4" t="s">
        <v>551</v>
      </c>
      <c r="B59" s="4" t="s">
        <v>1234</v>
      </c>
      <c r="C59" s="5" t="s">
        <v>1203</v>
      </c>
      <c r="D59" s="5"/>
      <c r="E59" s="4" t="s">
        <v>1235</v>
      </c>
      <c r="F59" s="4"/>
      <c r="G59" s="4"/>
      <c r="H59" s="5" t="s">
        <v>1236</v>
      </c>
      <c r="I59" s="6"/>
      <c r="J59" s="6"/>
    </row>
    <row r="60" customFormat="false" ht="35.05" hidden="false" customHeight="false" outlineLevel="0" collapsed="false">
      <c r="A60" s="4" t="s">
        <v>560</v>
      </c>
      <c r="B60" s="4" t="s">
        <v>1237</v>
      </c>
      <c r="C60" s="5" t="s">
        <v>1185</v>
      </c>
      <c r="D60" s="5"/>
      <c r="E60" s="4" t="s">
        <v>1238</v>
      </c>
      <c r="F60" s="4"/>
      <c r="G60" s="4"/>
      <c r="H60" s="5" t="s">
        <v>1239</v>
      </c>
      <c r="I60" s="6"/>
      <c r="J60" s="6"/>
    </row>
    <row r="61" customFormat="false" ht="35.05" hidden="false" customHeight="false" outlineLevel="0" collapsed="false">
      <c r="A61" s="4" t="s">
        <v>569</v>
      </c>
      <c r="B61" s="4" t="s">
        <v>1240</v>
      </c>
      <c r="C61" s="5" t="s">
        <v>1084</v>
      </c>
      <c r="D61" s="5"/>
      <c r="E61" s="4" t="s">
        <v>1241</v>
      </c>
      <c r="F61" s="4"/>
      <c r="G61" s="4"/>
      <c r="H61" s="5" t="s">
        <v>1242</v>
      </c>
      <c r="I61" s="6"/>
      <c r="J61" s="6"/>
    </row>
    <row r="62" customFormat="false" ht="35.05" hidden="false" customHeight="false" outlineLevel="0" collapsed="false">
      <c r="A62" s="4" t="s">
        <v>569</v>
      </c>
      <c r="B62" s="4" t="s">
        <v>1243</v>
      </c>
      <c r="C62" s="5" t="s">
        <v>1154</v>
      </c>
      <c r="D62" s="5"/>
      <c r="E62" s="4" t="s">
        <v>1244</v>
      </c>
      <c r="F62" s="4"/>
      <c r="G62" s="4"/>
      <c r="H62" s="5" t="s">
        <v>1245</v>
      </c>
      <c r="I62" s="6"/>
      <c r="J62" s="6"/>
    </row>
    <row r="63" customFormat="false" ht="35.05" hidden="false" customHeight="false" outlineLevel="0" collapsed="false">
      <c r="A63" s="4" t="s">
        <v>580</v>
      </c>
      <c r="B63" s="4" t="s">
        <v>1246</v>
      </c>
      <c r="C63" s="5" t="s">
        <v>1247</v>
      </c>
      <c r="D63" s="5"/>
      <c r="E63" s="4" t="s">
        <v>1248</v>
      </c>
      <c r="F63" s="4"/>
      <c r="G63" s="4"/>
      <c r="H63" s="5" t="s">
        <v>1249</v>
      </c>
      <c r="I63" s="6"/>
      <c r="J63" s="6"/>
    </row>
    <row r="64" customFormat="false" ht="35.05" hidden="false" customHeight="false" outlineLevel="0" collapsed="false">
      <c r="A64" s="4" t="s">
        <v>580</v>
      </c>
      <c r="B64" s="4" t="s">
        <v>1250</v>
      </c>
      <c r="C64" s="5" t="s">
        <v>1251</v>
      </c>
      <c r="D64" s="5"/>
      <c r="E64" s="4" t="s">
        <v>1252</v>
      </c>
      <c r="F64" s="4"/>
      <c r="G64" s="4"/>
      <c r="H64" s="5" t="s">
        <v>1253</v>
      </c>
      <c r="I64" s="6"/>
      <c r="J64" s="6"/>
    </row>
    <row r="65" customFormat="false" ht="35.05" hidden="false" customHeight="false" outlineLevel="0" collapsed="false">
      <c r="A65" s="4" t="s">
        <v>591</v>
      </c>
      <c r="B65" s="4" t="s">
        <v>1254</v>
      </c>
      <c r="C65" s="5" t="s">
        <v>1084</v>
      </c>
      <c r="D65" s="5"/>
      <c r="E65" s="4" t="s">
        <v>1255</v>
      </c>
      <c r="F65" s="4"/>
      <c r="G65" s="4"/>
      <c r="H65" s="5" t="s">
        <v>1256</v>
      </c>
      <c r="I65" s="6"/>
      <c r="J65" s="6"/>
    </row>
    <row r="66" customFormat="false" ht="35.05" hidden="false" customHeight="false" outlineLevel="0" collapsed="false">
      <c r="A66" s="4" t="s">
        <v>591</v>
      </c>
      <c r="B66" s="4" t="s">
        <v>1257</v>
      </c>
      <c r="C66" s="5" t="s">
        <v>1209</v>
      </c>
      <c r="D66" s="5"/>
      <c r="E66" s="4" t="s">
        <v>1258</v>
      </c>
      <c r="F66" s="4"/>
      <c r="G66" s="4"/>
      <c r="H66" s="5" t="s">
        <v>1259</v>
      </c>
      <c r="I66" s="6"/>
      <c r="J66" s="6"/>
    </row>
    <row r="67" customFormat="false" ht="35.05" hidden="false" customHeight="false" outlineLevel="0" collapsed="false">
      <c r="A67" s="4" t="s">
        <v>602</v>
      </c>
      <c r="B67" s="4" t="s">
        <v>1260</v>
      </c>
      <c r="C67" s="5" t="s">
        <v>1182</v>
      </c>
      <c r="D67" s="5"/>
      <c r="E67" s="4" t="s">
        <v>1261</v>
      </c>
      <c r="F67" s="4"/>
      <c r="G67" s="4"/>
      <c r="H67" s="5" t="s">
        <v>1262</v>
      </c>
      <c r="I67" s="6"/>
      <c r="J67" s="6"/>
    </row>
    <row r="68" customFormat="false" ht="35.05" hidden="false" customHeight="false" outlineLevel="0" collapsed="false">
      <c r="A68" s="4" t="s">
        <v>602</v>
      </c>
      <c r="B68" s="4" t="s">
        <v>1263</v>
      </c>
      <c r="C68" s="5" t="s">
        <v>1185</v>
      </c>
      <c r="D68" s="5"/>
      <c r="E68" s="4" t="s">
        <v>1264</v>
      </c>
      <c r="F68" s="4"/>
      <c r="G68" s="4"/>
      <c r="H68" s="5" t="s">
        <v>1265</v>
      </c>
      <c r="I68" s="6"/>
      <c r="J68" s="6"/>
    </row>
    <row r="69" customFormat="false" ht="35.05" hidden="false" customHeight="false" outlineLevel="0" collapsed="false">
      <c r="A69" s="4" t="s">
        <v>612</v>
      </c>
      <c r="B69" s="4" t="s">
        <v>1266</v>
      </c>
      <c r="C69" s="5" t="s">
        <v>1061</v>
      </c>
      <c r="D69" s="5"/>
      <c r="E69" s="4" t="s">
        <v>1267</v>
      </c>
      <c r="F69" s="4"/>
      <c r="G69" s="4"/>
      <c r="H69" s="5" t="s">
        <v>1268</v>
      </c>
      <c r="I69" s="6"/>
      <c r="J69" s="6"/>
    </row>
    <row r="70" customFormat="false" ht="35.05" hidden="false" customHeight="false" outlineLevel="0" collapsed="false">
      <c r="A70" s="4" t="s">
        <v>621</v>
      </c>
      <c r="B70" s="4" t="s">
        <v>1269</v>
      </c>
      <c r="C70" s="5" t="s">
        <v>1270</v>
      </c>
      <c r="D70" s="5"/>
      <c r="E70" s="4" t="s">
        <v>1271</v>
      </c>
      <c r="F70" s="4"/>
      <c r="G70" s="4"/>
      <c r="H70" s="5" t="s">
        <v>1272</v>
      </c>
      <c r="I70" s="6"/>
      <c r="J70" s="6"/>
    </row>
    <row r="71" customFormat="false" ht="46.25" hidden="false" customHeight="false" outlineLevel="0" collapsed="false">
      <c r="A71" s="4" t="s">
        <v>630</v>
      </c>
      <c r="B71" s="4" t="s">
        <v>1273</v>
      </c>
      <c r="C71" s="5" t="s">
        <v>1182</v>
      </c>
      <c r="D71" s="5"/>
      <c r="E71" s="4" t="s">
        <v>1274</v>
      </c>
      <c r="F71" s="4"/>
      <c r="G71" s="4"/>
      <c r="H71" s="5" t="s">
        <v>1275</v>
      </c>
      <c r="I71" s="6"/>
      <c r="J71" s="6"/>
    </row>
    <row r="72" customFormat="false" ht="35.05" hidden="false" customHeight="false" outlineLevel="0" collapsed="false">
      <c r="A72" s="4" t="s">
        <v>640</v>
      </c>
      <c r="B72" s="4" t="s">
        <v>1276</v>
      </c>
      <c r="C72" s="5" t="s">
        <v>1182</v>
      </c>
      <c r="D72" s="5"/>
      <c r="E72" s="4" t="s">
        <v>1277</v>
      </c>
      <c r="F72" s="4"/>
      <c r="G72" s="4"/>
      <c r="H72" s="5" t="s">
        <v>1278</v>
      </c>
      <c r="I72" s="6"/>
      <c r="J72" s="6"/>
    </row>
    <row r="73" customFormat="false" ht="35.05" hidden="false" customHeight="false" outlineLevel="0" collapsed="false">
      <c r="A73" s="4" t="s">
        <v>651</v>
      </c>
      <c r="B73" s="4" t="s">
        <v>1279</v>
      </c>
      <c r="C73" s="5" t="s">
        <v>1084</v>
      </c>
      <c r="D73" s="5"/>
      <c r="E73" s="4" t="s">
        <v>1280</v>
      </c>
      <c r="F73" s="4"/>
      <c r="G73" s="4"/>
      <c r="H73" s="5" t="s">
        <v>1281</v>
      </c>
      <c r="I73" s="6"/>
      <c r="J73" s="6"/>
    </row>
    <row r="74" customFormat="false" ht="46.25" hidden="false" customHeight="false" outlineLevel="0" collapsed="false">
      <c r="A74" s="4" t="s">
        <v>661</v>
      </c>
      <c r="B74" s="4" t="s">
        <v>1282</v>
      </c>
      <c r="C74" s="5" t="s">
        <v>1182</v>
      </c>
      <c r="D74" s="5"/>
      <c r="E74" s="4" t="s">
        <v>1283</v>
      </c>
      <c r="F74" s="4"/>
      <c r="G74" s="4"/>
      <c r="H74" s="5" t="s">
        <v>1284</v>
      </c>
      <c r="I74" s="6"/>
      <c r="J74" s="6"/>
    </row>
    <row r="75" customFormat="false" ht="46.25" hidden="false" customHeight="false" outlineLevel="0" collapsed="false">
      <c r="A75" s="4" t="s">
        <v>661</v>
      </c>
      <c r="B75" s="4" t="s">
        <v>1285</v>
      </c>
      <c r="C75" s="5" t="s">
        <v>1185</v>
      </c>
      <c r="D75" s="5"/>
      <c r="E75" s="4" t="s">
        <v>1286</v>
      </c>
      <c r="F75" s="4"/>
      <c r="G75" s="4"/>
      <c r="H75" s="5" t="s">
        <v>1287</v>
      </c>
      <c r="I75" s="6"/>
      <c r="J75" s="6"/>
    </row>
    <row r="76" customFormat="false" ht="35.05" hidden="false" customHeight="false" outlineLevel="0" collapsed="false">
      <c r="A76" s="4" t="s">
        <v>671</v>
      </c>
      <c r="B76" s="4" t="s">
        <v>1288</v>
      </c>
      <c r="C76" s="5" t="s">
        <v>1209</v>
      </c>
      <c r="D76" s="5"/>
      <c r="E76" s="4" t="s">
        <v>1289</v>
      </c>
      <c r="F76" s="4"/>
      <c r="G76" s="4"/>
      <c r="H76" s="5" t="s">
        <v>1290</v>
      </c>
      <c r="I76" s="6"/>
      <c r="J76" s="6"/>
    </row>
    <row r="77" customFormat="false" ht="35.05" hidden="false" customHeight="false" outlineLevel="0" collapsed="false">
      <c r="A77" s="4" t="s">
        <v>682</v>
      </c>
      <c r="B77" s="4" t="s">
        <v>1291</v>
      </c>
      <c r="C77" s="5" t="s">
        <v>1182</v>
      </c>
      <c r="D77" s="5"/>
      <c r="E77" s="4" t="s">
        <v>1292</v>
      </c>
      <c r="F77" s="4"/>
      <c r="G77" s="4"/>
      <c r="H77" s="5" t="s">
        <v>1293</v>
      </c>
      <c r="I77" s="6"/>
      <c r="J77" s="6"/>
    </row>
    <row r="78" customFormat="false" ht="35.05" hidden="false" customHeight="false" outlineLevel="0" collapsed="false">
      <c r="A78" s="4" t="s">
        <v>690</v>
      </c>
      <c r="B78" s="4" t="s">
        <v>1294</v>
      </c>
      <c r="C78" s="5" t="s">
        <v>1167</v>
      </c>
      <c r="D78" s="5"/>
      <c r="E78" s="4" t="s">
        <v>1295</v>
      </c>
      <c r="F78" s="4"/>
      <c r="G78" s="4"/>
      <c r="H78" s="5" t="s">
        <v>1296</v>
      </c>
      <c r="I78" s="6"/>
      <c r="J78" s="6"/>
    </row>
    <row r="79" customFormat="false" ht="35.05" hidden="false" customHeight="false" outlineLevel="0" collapsed="false">
      <c r="A79" s="4" t="s">
        <v>700</v>
      </c>
      <c r="B79" s="4" t="s">
        <v>1297</v>
      </c>
      <c r="C79" s="5" t="s">
        <v>1073</v>
      </c>
      <c r="D79" s="5"/>
      <c r="E79" s="4" t="s">
        <v>1298</v>
      </c>
      <c r="F79" s="4"/>
      <c r="G79" s="4"/>
      <c r="H79" s="5" t="s">
        <v>1299</v>
      </c>
      <c r="I79" s="6"/>
      <c r="J79" s="6"/>
    </row>
    <row r="80" customFormat="false" ht="35.05" hidden="false" customHeight="false" outlineLevel="0" collapsed="false">
      <c r="A80" s="4" t="s">
        <v>700</v>
      </c>
      <c r="B80" s="4" t="s">
        <v>1300</v>
      </c>
      <c r="C80" s="5" t="s">
        <v>1301</v>
      </c>
      <c r="D80" s="5"/>
      <c r="E80" s="4" t="s">
        <v>1302</v>
      </c>
      <c r="F80" s="4"/>
      <c r="G80" s="4"/>
      <c r="H80" s="5" t="s">
        <v>1303</v>
      </c>
      <c r="I80" s="6"/>
      <c r="J80" s="6"/>
    </row>
    <row r="81" customFormat="false" ht="35.05" hidden="false" customHeight="false" outlineLevel="0" collapsed="false">
      <c r="A81" s="4" t="s">
        <v>710</v>
      </c>
      <c r="B81" s="4" t="s">
        <v>1304</v>
      </c>
      <c r="C81" s="5" t="s">
        <v>1182</v>
      </c>
      <c r="D81" s="5"/>
      <c r="E81" s="4" t="s">
        <v>1305</v>
      </c>
      <c r="F81" s="4"/>
      <c r="G81" s="4"/>
      <c r="H81" s="5" t="s">
        <v>1306</v>
      </c>
      <c r="I81" s="6"/>
      <c r="J81" s="6"/>
    </row>
    <row r="82" customFormat="false" ht="35.05" hidden="false" customHeight="false" outlineLevel="0" collapsed="false">
      <c r="A82" s="4" t="s">
        <v>710</v>
      </c>
      <c r="B82" s="4" t="s">
        <v>1307</v>
      </c>
      <c r="C82" s="5" t="s">
        <v>1185</v>
      </c>
      <c r="D82" s="5"/>
      <c r="E82" s="4" t="s">
        <v>1308</v>
      </c>
      <c r="F82" s="4"/>
      <c r="G82" s="4"/>
      <c r="H82" s="5" t="s">
        <v>1309</v>
      </c>
      <c r="I82" s="6"/>
      <c r="J82" s="6"/>
    </row>
    <row r="83" customFormat="false" ht="35.05" hidden="false" customHeight="false" outlineLevel="0" collapsed="false">
      <c r="A83" s="4" t="s">
        <v>720</v>
      </c>
      <c r="B83" s="4" t="s">
        <v>1310</v>
      </c>
      <c r="C83" s="5" t="s">
        <v>1084</v>
      </c>
      <c r="D83" s="5"/>
      <c r="E83" s="4" t="s">
        <v>1311</v>
      </c>
      <c r="F83" s="4"/>
      <c r="G83" s="4"/>
      <c r="H83" s="5" t="s">
        <v>1312</v>
      </c>
      <c r="I83" s="6"/>
      <c r="J83" s="6"/>
    </row>
    <row r="84" customFormat="false" ht="35.05" hidden="false" customHeight="false" outlineLevel="0" collapsed="false">
      <c r="A84" s="4" t="s">
        <v>730</v>
      </c>
      <c r="B84" s="4" t="s">
        <v>1313</v>
      </c>
      <c r="C84" s="5" t="s">
        <v>1251</v>
      </c>
      <c r="D84" s="5"/>
      <c r="E84" s="4" t="s">
        <v>1314</v>
      </c>
      <c r="F84" s="4"/>
      <c r="G84" s="4"/>
      <c r="H84" s="5" t="s">
        <v>1315</v>
      </c>
      <c r="I84" s="6"/>
      <c r="J84" s="6"/>
    </row>
    <row r="85" customFormat="false" ht="35.05" hidden="false" customHeight="false" outlineLevel="0" collapsed="false">
      <c r="A85" s="4" t="s">
        <v>739</v>
      </c>
      <c r="B85" s="4" t="s">
        <v>1316</v>
      </c>
      <c r="C85" s="5" t="s">
        <v>1182</v>
      </c>
      <c r="D85" s="5"/>
      <c r="E85" s="4" t="s">
        <v>1317</v>
      </c>
      <c r="F85" s="4"/>
      <c r="G85" s="4"/>
      <c r="H85" s="5" t="s">
        <v>1318</v>
      </c>
      <c r="I85" s="6"/>
      <c r="J85" s="6"/>
    </row>
    <row r="86" customFormat="false" ht="46.25" hidden="false" customHeight="false" outlineLevel="0" collapsed="false">
      <c r="A86" s="4" t="s">
        <v>751</v>
      </c>
      <c r="B86" s="4" t="s">
        <v>1319</v>
      </c>
      <c r="C86" s="5" t="s">
        <v>1182</v>
      </c>
      <c r="D86" s="5"/>
      <c r="E86" s="4" t="s">
        <v>1320</v>
      </c>
      <c r="F86" s="4"/>
      <c r="G86" s="4"/>
      <c r="H86" s="5" t="s">
        <v>1321</v>
      </c>
      <c r="I86" s="6"/>
      <c r="J86" s="6"/>
    </row>
    <row r="87" customFormat="false" ht="46.25" hidden="false" customHeight="false" outlineLevel="0" collapsed="false">
      <c r="A87" s="4" t="s">
        <v>751</v>
      </c>
      <c r="B87" s="4" t="s">
        <v>1322</v>
      </c>
      <c r="C87" s="5" t="s">
        <v>1209</v>
      </c>
      <c r="D87" s="5"/>
      <c r="E87" s="4" t="s">
        <v>1323</v>
      </c>
      <c r="F87" s="4"/>
      <c r="G87" s="4"/>
      <c r="H87" s="5" t="s">
        <v>1324</v>
      </c>
      <c r="I87" s="6"/>
      <c r="J87" s="6"/>
    </row>
    <row r="88" customFormat="false" ht="35.05" hidden="false" customHeight="false" outlineLevel="0" collapsed="false">
      <c r="A88" s="4" t="s">
        <v>762</v>
      </c>
      <c r="B88" s="4" t="s">
        <v>1325</v>
      </c>
      <c r="C88" s="5" t="s">
        <v>1182</v>
      </c>
      <c r="D88" s="5"/>
      <c r="E88" s="4" t="s">
        <v>1326</v>
      </c>
      <c r="F88" s="4"/>
      <c r="G88" s="4"/>
      <c r="H88" s="5" t="s">
        <v>1327</v>
      </c>
      <c r="I88" s="6"/>
      <c r="J88" s="6"/>
    </row>
    <row r="89" customFormat="false" ht="35.05" hidden="false" customHeight="false" outlineLevel="0" collapsed="false">
      <c r="A89" s="4" t="s">
        <v>762</v>
      </c>
      <c r="B89" s="4" t="s">
        <v>1328</v>
      </c>
      <c r="C89" s="5" t="s">
        <v>1329</v>
      </c>
      <c r="D89" s="5"/>
      <c r="E89" s="4" t="s">
        <v>1330</v>
      </c>
      <c r="F89" s="4"/>
      <c r="G89" s="4"/>
      <c r="H89" s="5" t="s">
        <v>1331</v>
      </c>
      <c r="I89" s="6"/>
      <c r="J89" s="6"/>
    </row>
    <row r="90" customFormat="false" ht="35.05" hidden="false" customHeight="false" outlineLevel="0" collapsed="false">
      <c r="A90" s="4" t="s">
        <v>772</v>
      </c>
      <c r="B90" s="4" t="s">
        <v>1332</v>
      </c>
      <c r="C90" s="5" t="s">
        <v>1182</v>
      </c>
      <c r="D90" s="5"/>
      <c r="E90" s="4" t="s">
        <v>1333</v>
      </c>
      <c r="F90" s="4"/>
      <c r="G90" s="4"/>
      <c r="H90" s="5" t="s">
        <v>1334</v>
      </c>
      <c r="I90" s="6"/>
      <c r="J90" s="6"/>
    </row>
    <row r="91" customFormat="false" ht="15" hidden="false" customHeight="false" outlineLevel="0" collapsed="false">
      <c r="A91" s="4" t="s">
        <v>782</v>
      </c>
      <c r="B91" s="4" t="s">
        <v>1335</v>
      </c>
      <c r="C91" s="5" t="s">
        <v>1336</v>
      </c>
      <c r="D91" s="5"/>
      <c r="E91" s="4"/>
      <c r="F91" s="4"/>
      <c r="G91" s="4"/>
      <c r="H91" s="5"/>
      <c r="I91" s="6"/>
      <c r="J91" s="6"/>
    </row>
    <row r="92" customFormat="false" ht="15" hidden="false" customHeight="false" outlineLevel="0" collapsed="false">
      <c r="A92" s="4" t="s">
        <v>782</v>
      </c>
      <c r="B92" s="4" t="s">
        <v>1337</v>
      </c>
      <c r="C92" s="5" t="s">
        <v>1338</v>
      </c>
      <c r="D92" s="5"/>
      <c r="E92" s="4"/>
      <c r="F92" s="4"/>
      <c r="G92" s="4"/>
      <c r="H92" s="5"/>
      <c r="I92" s="6"/>
      <c r="J92" s="6"/>
    </row>
    <row r="93" customFormat="false" ht="23.85" hidden="false" customHeight="false" outlineLevel="0" collapsed="false">
      <c r="A93" s="4" t="s">
        <v>793</v>
      </c>
      <c r="B93" s="4" t="s">
        <v>1339</v>
      </c>
      <c r="C93" s="5" t="s">
        <v>1340</v>
      </c>
      <c r="D93" s="5"/>
      <c r="E93" s="4" t="s">
        <v>1341</v>
      </c>
      <c r="F93" s="4"/>
      <c r="G93" s="4"/>
      <c r="H93" s="5"/>
      <c r="I93" s="6"/>
      <c r="J93" s="6"/>
    </row>
    <row r="94" customFormat="false" ht="15" hidden="false" customHeight="false" outlineLevel="0" collapsed="false">
      <c r="A94" s="4" t="s">
        <v>793</v>
      </c>
      <c r="B94" s="4" t="s">
        <v>1342</v>
      </c>
      <c r="C94" s="5" t="s">
        <v>1084</v>
      </c>
      <c r="D94" s="5"/>
      <c r="E94" s="4"/>
      <c r="F94" s="4"/>
      <c r="G94" s="4"/>
      <c r="H94" s="5"/>
      <c r="I94" s="6"/>
      <c r="J94" s="6"/>
    </row>
    <row r="95" customFormat="false" ht="15" hidden="false" customHeight="false" outlineLevel="0" collapsed="false">
      <c r="A95" s="4" t="s">
        <v>803</v>
      </c>
      <c r="B95" s="4" t="s">
        <v>1343</v>
      </c>
      <c r="C95" s="5" t="s">
        <v>1344</v>
      </c>
      <c r="D95" s="5"/>
      <c r="E95" s="4" t="s">
        <v>1345</v>
      </c>
      <c r="F95" s="4"/>
      <c r="G95" s="4"/>
      <c r="H95" s="5"/>
      <c r="I95" s="6"/>
      <c r="J95" s="6"/>
    </row>
    <row r="96" customFormat="false" ht="15" hidden="false" customHeight="false" outlineLevel="0" collapsed="false">
      <c r="A96" s="4" t="s">
        <v>812</v>
      </c>
      <c r="B96" s="4" t="s">
        <v>1346</v>
      </c>
      <c r="C96" s="5" t="s">
        <v>1154</v>
      </c>
      <c r="D96" s="5"/>
      <c r="E96" s="4"/>
      <c r="F96" s="4"/>
      <c r="G96" s="4"/>
      <c r="H96" s="5"/>
      <c r="I96" s="6"/>
      <c r="J96" s="6"/>
    </row>
    <row r="97" customFormat="false" ht="15" hidden="false" customHeight="false" outlineLevel="0" collapsed="false">
      <c r="A97" s="4" t="s">
        <v>812</v>
      </c>
      <c r="B97" s="4" t="s">
        <v>1347</v>
      </c>
      <c r="C97" s="5" t="s">
        <v>1348</v>
      </c>
      <c r="D97" s="5"/>
      <c r="E97" s="4"/>
      <c r="F97" s="4"/>
      <c r="G97" s="4"/>
      <c r="H97" s="5"/>
      <c r="I97" s="6"/>
      <c r="J97" s="6"/>
    </row>
    <row r="98" customFormat="false" ht="15" hidden="false" customHeight="false" outlineLevel="0" collapsed="false">
      <c r="A98" s="4" t="s">
        <v>822</v>
      </c>
      <c r="B98" s="4" t="s">
        <v>1349</v>
      </c>
      <c r="C98" s="5" t="s">
        <v>1336</v>
      </c>
      <c r="D98" s="5"/>
      <c r="E98" s="4"/>
      <c r="F98" s="4"/>
      <c r="G98" s="4"/>
      <c r="H98" s="5"/>
      <c r="I98" s="6"/>
      <c r="J98" s="6"/>
    </row>
    <row r="99" customFormat="false" ht="15" hidden="false" customHeight="false" outlineLevel="0" collapsed="false">
      <c r="A99" s="4" t="s">
        <v>831</v>
      </c>
      <c r="B99" s="4" t="s">
        <v>1350</v>
      </c>
      <c r="C99" s="5" t="s">
        <v>1336</v>
      </c>
      <c r="D99" s="5"/>
      <c r="E99" s="4"/>
      <c r="F99" s="4"/>
      <c r="G99" s="4"/>
      <c r="H99" s="5"/>
      <c r="I99" s="6"/>
      <c r="J99" s="6"/>
    </row>
    <row r="100" customFormat="false" ht="15" hidden="false" customHeight="false" outlineLevel="0" collapsed="false">
      <c r="A100" s="4" t="s">
        <v>831</v>
      </c>
      <c r="B100" s="4" t="s">
        <v>1351</v>
      </c>
      <c r="C100" s="5" t="s">
        <v>1352</v>
      </c>
      <c r="D100" s="5"/>
      <c r="E100" s="4"/>
      <c r="F100" s="4"/>
      <c r="G100" s="4"/>
      <c r="H100" s="5"/>
      <c r="I100" s="6"/>
      <c r="J100" s="6"/>
    </row>
    <row r="101" customFormat="false" ht="15" hidden="false" customHeight="false" outlineLevel="0" collapsed="false">
      <c r="A101" s="4" t="s">
        <v>840</v>
      </c>
      <c r="B101" s="4" t="s">
        <v>1353</v>
      </c>
      <c r="C101" s="5" t="s">
        <v>1344</v>
      </c>
      <c r="D101" s="5"/>
      <c r="E101" s="4"/>
      <c r="F101" s="4"/>
      <c r="G101" s="4"/>
      <c r="H101" s="5"/>
      <c r="I101" s="6"/>
      <c r="J101" s="6"/>
    </row>
    <row r="102" customFormat="false" ht="15" hidden="false" customHeight="false" outlineLevel="0" collapsed="false">
      <c r="A102" s="4" t="s">
        <v>850</v>
      </c>
      <c r="B102" s="4" t="s">
        <v>1354</v>
      </c>
      <c r="C102" s="5" t="s">
        <v>1338</v>
      </c>
      <c r="D102" s="5"/>
      <c r="E102" s="4"/>
      <c r="F102" s="4"/>
      <c r="G102" s="4"/>
      <c r="H102" s="5"/>
      <c r="I102" s="6"/>
      <c r="J102" s="6"/>
    </row>
    <row r="103" customFormat="false" ht="15" hidden="false" customHeight="false" outlineLevel="0" collapsed="false">
      <c r="A103" s="4" t="s">
        <v>850</v>
      </c>
      <c r="B103" s="4" t="s">
        <v>1355</v>
      </c>
      <c r="C103" s="5" t="s">
        <v>1154</v>
      </c>
      <c r="D103" s="5"/>
      <c r="E103" s="4"/>
      <c r="F103" s="4"/>
      <c r="G103" s="4"/>
      <c r="H103" s="5"/>
      <c r="I103" s="6"/>
      <c r="J103" s="6"/>
    </row>
    <row r="104" customFormat="false" ht="15" hidden="false" customHeight="false" outlineLevel="0" collapsed="false">
      <c r="A104" s="4" t="s">
        <v>859</v>
      </c>
      <c r="B104" s="4" t="s">
        <v>1356</v>
      </c>
      <c r="C104" s="5" t="s">
        <v>1336</v>
      </c>
      <c r="D104" s="5"/>
      <c r="E104" s="4" t="s">
        <v>1357</v>
      </c>
      <c r="F104" s="4"/>
      <c r="G104" s="4"/>
      <c r="H104" s="5"/>
      <c r="I104" s="6"/>
      <c r="J104" s="6"/>
    </row>
    <row r="105" customFormat="false" ht="15" hidden="false" customHeight="false" outlineLevel="0" collapsed="false">
      <c r="A105" s="4" t="s">
        <v>859</v>
      </c>
      <c r="B105" s="4" t="s">
        <v>1358</v>
      </c>
      <c r="C105" s="5" t="s">
        <v>1338</v>
      </c>
      <c r="D105" s="5"/>
      <c r="E105" s="4"/>
      <c r="F105" s="4"/>
      <c r="G105" s="4"/>
      <c r="H105" s="5"/>
      <c r="I105" s="6"/>
      <c r="J105" s="6"/>
    </row>
    <row r="106" customFormat="false" ht="15" hidden="false" customHeight="false" outlineLevel="0" collapsed="false">
      <c r="A106" s="4" t="s">
        <v>877</v>
      </c>
      <c r="B106" s="4" t="s">
        <v>1359</v>
      </c>
      <c r="C106" s="5" t="s">
        <v>1344</v>
      </c>
      <c r="D106" s="5"/>
      <c r="E106" s="4" t="s">
        <v>1360</v>
      </c>
      <c r="F106" s="4"/>
      <c r="G106" s="4"/>
      <c r="H106" s="5"/>
      <c r="I106" s="6"/>
      <c r="J106" s="6"/>
    </row>
    <row r="107" customFormat="false" ht="15" hidden="false" customHeight="false" outlineLevel="0" collapsed="false">
      <c r="A107" s="4" t="s">
        <v>877</v>
      </c>
      <c r="B107" s="4" t="s">
        <v>1361</v>
      </c>
      <c r="C107" s="5" t="s">
        <v>1362</v>
      </c>
      <c r="D107" s="5"/>
      <c r="E107" s="4" t="s">
        <v>1363</v>
      </c>
      <c r="F107" s="4"/>
      <c r="G107" s="4"/>
      <c r="H107" s="5"/>
      <c r="I107" s="6"/>
      <c r="J107" s="6"/>
    </row>
    <row r="108" customFormat="false" ht="15" hidden="false" customHeight="false" outlineLevel="0" collapsed="false">
      <c r="A108" s="4" t="s">
        <v>887</v>
      </c>
      <c r="B108" s="4" t="s">
        <v>1364</v>
      </c>
      <c r="C108" s="5" t="s">
        <v>1365</v>
      </c>
      <c r="D108" s="5"/>
      <c r="E108" s="4" t="s">
        <v>1366</v>
      </c>
      <c r="F108" s="4"/>
      <c r="G108" s="4"/>
      <c r="H108" s="5"/>
      <c r="I108" s="6"/>
      <c r="J108" s="6"/>
    </row>
    <row r="109" customFormat="false" ht="15" hidden="false" customHeight="false" outlineLevel="0" collapsed="false">
      <c r="A109" s="4" t="s">
        <v>887</v>
      </c>
      <c r="B109" s="4" t="s">
        <v>1367</v>
      </c>
      <c r="C109" s="5" t="s">
        <v>1368</v>
      </c>
      <c r="D109" s="5"/>
      <c r="E109" s="4"/>
      <c r="F109" s="4"/>
      <c r="G109" s="4"/>
      <c r="H109" s="5"/>
      <c r="I109" s="6"/>
      <c r="J109" s="6"/>
    </row>
    <row r="110" customFormat="false" ht="23.85" hidden="false" customHeight="false" outlineLevel="0" collapsed="false">
      <c r="A110" s="4" t="s">
        <v>896</v>
      </c>
      <c r="B110" s="4" t="s">
        <v>1369</v>
      </c>
      <c r="C110" s="5" t="s">
        <v>1370</v>
      </c>
      <c r="D110" s="5"/>
      <c r="E110" s="4" t="s">
        <v>1371</v>
      </c>
      <c r="F110" s="4"/>
      <c r="G110" s="4"/>
      <c r="H110" s="5"/>
      <c r="I110" s="6"/>
      <c r="J110" s="6"/>
    </row>
    <row r="111" customFormat="false" ht="15" hidden="false" customHeight="false" outlineLevel="0" collapsed="false">
      <c r="A111" s="4" t="s">
        <v>896</v>
      </c>
      <c r="B111" s="4" t="s">
        <v>1372</v>
      </c>
      <c r="C111" s="5" t="s">
        <v>1368</v>
      </c>
      <c r="D111" s="5"/>
      <c r="E111" s="4"/>
      <c r="F111" s="4"/>
      <c r="G111" s="4"/>
      <c r="H111" s="5"/>
      <c r="I111" s="6"/>
      <c r="J111" s="6"/>
    </row>
    <row r="112" customFormat="false" ht="15" hidden="false" customHeight="false" outlineLevel="0" collapsed="false">
      <c r="A112" s="4" t="s">
        <v>905</v>
      </c>
      <c r="B112" s="4" t="s">
        <v>1373</v>
      </c>
      <c r="C112" s="5" t="s">
        <v>1374</v>
      </c>
      <c r="D112" s="5"/>
      <c r="E112" s="4"/>
      <c r="F112" s="4"/>
      <c r="G112" s="4"/>
      <c r="H112" s="5"/>
      <c r="I112" s="6"/>
      <c r="J112" s="6"/>
    </row>
    <row r="113" customFormat="false" ht="15" hidden="false" customHeight="false" outlineLevel="0" collapsed="false">
      <c r="A113" s="4" t="s">
        <v>905</v>
      </c>
      <c r="B113" s="4" t="s">
        <v>1375</v>
      </c>
      <c r="C113" s="5" t="s">
        <v>1338</v>
      </c>
      <c r="D113" s="5"/>
      <c r="E113" s="4"/>
      <c r="F113" s="4"/>
      <c r="G113" s="4"/>
      <c r="H113" s="5"/>
      <c r="I113" s="6"/>
      <c r="J113" s="6"/>
    </row>
    <row r="114" customFormat="false" ht="15" hidden="false" customHeight="false" outlineLevel="0" collapsed="false">
      <c r="A114" s="4" t="s">
        <v>915</v>
      </c>
      <c r="B114" s="4" t="s">
        <v>1376</v>
      </c>
      <c r="C114" s="5" t="s">
        <v>1365</v>
      </c>
      <c r="D114" s="5"/>
      <c r="E114" s="4"/>
      <c r="F114" s="4"/>
      <c r="G114" s="4"/>
      <c r="H114" s="5"/>
      <c r="I114" s="6"/>
      <c r="J114" s="6"/>
    </row>
    <row r="115" customFormat="false" ht="15" hidden="false" customHeight="false" outlineLevel="0" collapsed="false">
      <c r="A115" s="4" t="s">
        <v>915</v>
      </c>
      <c r="B115" s="4" t="s">
        <v>1377</v>
      </c>
      <c r="C115" s="5" t="s">
        <v>77</v>
      </c>
      <c r="D115" s="5"/>
      <c r="E115" s="4" t="s">
        <v>1378</v>
      </c>
      <c r="F115" s="4"/>
      <c r="G115" s="4"/>
      <c r="H115" s="5"/>
      <c r="I115" s="6"/>
      <c r="J115" s="6"/>
    </row>
    <row r="116" customFormat="false" ht="15" hidden="false" customHeight="false" outlineLevel="0" collapsed="false">
      <c r="A116" s="4" t="s">
        <v>927</v>
      </c>
      <c r="B116" s="4" t="s">
        <v>1379</v>
      </c>
      <c r="C116" s="5" t="s">
        <v>1368</v>
      </c>
      <c r="D116" s="5"/>
      <c r="E116" s="4"/>
      <c r="F116" s="4"/>
      <c r="G116" s="4"/>
      <c r="H116" s="5"/>
      <c r="I116" s="6"/>
      <c r="J116" s="6"/>
    </row>
    <row r="117" customFormat="false" ht="15" hidden="false" customHeight="false" outlineLevel="0" collapsed="false">
      <c r="A117" s="4" t="s">
        <v>927</v>
      </c>
      <c r="B117" s="4" t="s">
        <v>1380</v>
      </c>
      <c r="C117" s="5" t="s">
        <v>1381</v>
      </c>
      <c r="D117" s="5"/>
      <c r="E117" s="4"/>
      <c r="F117" s="4"/>
      <c r="G117" s="4"/>
      <c r="H117" s="5"/>
      <c r="I117" s="6"/>
      <c r="J117" s="6"/>
    </row>
    <row r="118" customFormat="false" ht="15" hidden="false" customHeight="false" outlineLevel="0" collapsed="false">
      <c r="A118" s="4" t="s">
        <v>936</v>
      </c>
      <c r="B118" s="4" t="s">
        <v>1382</v>
      </c>
      <c r="C118" s="5" t="s">
        <v>1368</v>
      </c>
      <c r="D118" s="5"/>
      <c r="E118" s="4"/>
      <c r="F118" s="4"/>
      <c r="G118" s="4"/>
      <c r="H118" s="5"/>
      <c r="I118" s="6"/>
      <c r="J118" s="6"/>
    </row>
    <row r="119" customFormat="false" ht="15" hidden="false" customHeight="false" outlineLevel="0" collapsed="false">
      <c r="A119" s="4" t="s">
        <v>946</v>
      </c>
      <c r="B119" s="4" t="s">
        <v>1383</v>
      </c>
      <c r="C119" s="5" t="s">
        <v>1344</v>
      </c>
      <c r="D119" s="5"/>
      <c r="E119" s="4" t="s">
        <v>1384</v>
      </c>
      <c r="F119" s="4"/>
      <c r="G119" s="4"/>
      <c r="H119" s="5"/>
      <c r="I119" s="6"/>
      <c r="J119" s="6"/>
    </row>
    <row r="120" customFormat="false" ht="23.85" hidden="false" customHeight="false" outlineLevel="0" collapsed="false">
      <c r="A120" s="4" t="s">
        <v>956</v>
      </c>
      <c r="B120" s="4" t="s">
        <v>1385</v>
      </c>
      <c r="C120" s="5" t="s">
        <v>1386</v>
      </c>
      <c r="D120" s="5"/>
      <c r="E120" s="4"/>
      <c r="F120" s="4"/>
      <c r="G120" s="4"/>
      <c r="H120" s="5"/>
      <c r="I120" s="6"/>
      <c r="J120" s="6"/>
    </row>
    <row r="121" customFormat="false" ht="15" hidden="false" customHeight="false" outlineLevel="0" collapsed="false">
      <c r="A121" s="4" t="s">
        <v>965</v>
      </c>
      <c r="B121" s="4" t="s">
        <v>1387</v>
      </c>
      <c r="C121" s="5" t="s">
        <v>1388</v>
      </c>
      <c r="D121" s="5"/>
      <c r="E121" s="4" t="s">
        <v>1389</v>
      </c>
      <c r="F121" s="4"/>
      <c r="G121" s="4"/>
      <c r="H121" s="5"/>
      <c r="I121" s="6"/>
      <c r="J121" s="6"/>
    </row>
    <row r="122" customFormat="false" ht="15" hidden="false" customHeight="false" outlineLevel="0" collapsed="false">
      <c r="A122" s="4" t="s">
        <v>975</v>
      </c>
      <c r="B122" s="4" t="s">
        <v>1390</v>
      </c>
      <c r="C122" s="5" t="s">
        <v>1391</v>
      </c>
      <c r="D122" s="5"/>
      <c r="E122" s="4"/>
      <c r="F122" s="4"/>
      <c r="G122" s="4"/>
      <c r="H122" s="5"/>
      <c r="I122" s="6"/>
      <c r="J122" s="6"/>
    </row>
    <row r="123" customFormat="false" ht="15" hidden="false" customHeight="false" outlineLevel="0" collapsed="false">
      <c r="A123" s="4" t="s">
        <v>983</v>
      </c>
      <c r="B123" s="4" t="s">
        <v>1392</v>
      </c>
      <c r="C123" s="5" t="s">
        <v>1388</v>
      </c>
      <c r="D123" s="5"/>
      <c r="E123" s="4"/>
      <c r="F123" s="4"/>
      <c r="G123" s="4"/>
      <c r="H123" s="5"/>
      <c r="I123" s="6"/>
      <c r="J123" s="6"/>
    </row>
    <row r="124" customFormat="false" ht="15" hidden="false" customHeight="false" outlineLevel="0" collapsed="false">
      <c r="A124" s="4" t="s">
        <v>994</v>
      </c>
      <c r="B124" s="4" t="s">
        <v>1393</v>
      </c>
      <c r="C124" s="5" t="s">
        <v>1344</v>
      </c>
      <c r="D124" s="5"/>
      <c r="E124" s="4"/>
      <c r="F124" s="4"/>
      <c r="G124" s="4"/>
      <c r="H124" s="5"/>
      <c r="I124" s="6"/>
      <c r="J124" s="6"/>
    </row>
    <row r="125" customFormat="false" ht="15" hidden="false" customHeight="false" outlineLevel="0" collapsed="false">
      <c r="A125" s="4" t="s">
        <v>1003</v>
      </c>
      <c r="B125" s="4" t="s">
        <v>1394</v>
      </c>
      <c r="C125" s="5" t="s">
        <v>1344</v>
      </c>
      <c r="D125" s="5"/>
      <c r="E125" s="4"/>
      <c r="F125" s="4"/>
      <c r="G125" s="4"/>
      <c r="H125" s="5"/>
      <c r="I125" s="6"/>
      <c r="J125" s="6"/>
    </row>
    <row r="126" customFormat="false" ht="15" hidden="false" customHeight="false" outlineLevel="0" collapsed="false">
      <c r="A126" s="4" t="s">
        <v>1012</v>
      </c>
      <c r="B126" s="4" t="s">
        <v>1395</v>
      </c>
      <c r="C126" s="5" t="s">
        <v>1388</v>
      </c>
      <c r="D126" s="5"/>
      <c r="E126" s="4"/>
      <c r="F126" s="4"/>
      <c r="G126" s="4"/>
      <c r="H126" s="5"/>
      <c r="I126" s="6"/>
      <c r="J126" s="6"/>
    </row>
    <row r="127" customFormat="false" ht="15" hidden="false" customHeight="false" outlineLevel="0" collapsed="false">
      <c r="A127" s="4" t="s">
        <v>1022</v>
      </c>
      <c r="B127" s="4" t="s">
        <v>1396</v>
      </c>
      <c r="C127" s="5" t="s">
        <v>1388</v>
      </c>
      <c r="D127" s="5"/>
      <c r="E127" s="4"/>
      <c r="F127" s="4"/>
      <c r="G127" s="4"/>
      <c r="H127" s="5"/>
      <c r="I127" s="6"/>
      <c r="J127" s="6"/>
    </row>
    <row r="128" customFormat="false" ht="15" hidden="false" customHeight="false" outlineLevel="0" collapsed="false">
      <c r="A128" s="4" t="s">
        <v>1033</v>
      </c>
      <c r="B128" s="4" t="s">
        <v>1397</v>
      </c>
      <c r="C128" s="5" t="s">
        <v>1398</v>
      </c>
      <c r="D128" s="5"/>
      <c r="E128" s="4"/>
      <c r="F128" s="4"/>
      <c r="G128" s="4"/>
      <c r="H128" s="5"/>
      <c r="I128" s="6"/>
      <c r="J128" s="6"/>
    </row>
    <row r="129" customFormat="false" ht="35.05" hidden="false" customHeight="false" outlineLevel="0" collapsed="false">
      <c r="A129" s="4" t="s">
        <v>1041</v>
      </c>
      <c r="B129" s="4" t="s">
        <v>1399</v>
      </c>
      <c r="C129" s="5" t="s">
        <v>1400</v>
      </c>
      <c r="D129" s="5"/>
      <c r="E129" s="4"/>
      <c r="F129" s="4"/>
      <c r="G129" s="4"/>
      <c r="H129" s="5"/>
      <c r="I129" s="6"/>
      <c r="J129" s="6"/>
    </row>
  </sheetData>
  <autoFilter ref="A1:J1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8" t="s">
        <v>1401</v>
      </c>
    </row>
    <row r="2" customFormat="false" ht="23.85" hidden="false" customHeight="false" outlineLevel="0" collapsed="false">
      <c r="A2" s="9" t="s">
        <v>1402</v>
      </c>
    </row>
    <row r="3" customFormat="false" ht="23.85" hidden="false" customHeight="false" outlineLevel="0" collapsed="false">
      <c r="A3" s="9" t="s">
        <v>1403</v>
      </c>
    </row>
    <row r="4" customFormat="false" ht="15" hidden="false" customHeight="false" outlineLevel="0" collapsed="false">
      <c r="A4" s="9" t="s">
        <v>1404</v>
      </c>
    </row>
    <row r="5" customFormat="false" ht="15" hidden="false" customHeight="false" outlineLevel="0" collapsed="false">
      <c r="A5" s="9" t="s">
        <v>1405</v>
      </c>
    </row>
    <row r="6" customFormat="false" ht="15" hidden="false" customHeight="false" outlineLevel="0" collapsed="false">
      <c r="A6" s="9"/>
    </row>
    <row r="7" customFormat="false" ht="15" hidden="false" customHeight="false" outlineLevel="0" collapsed="false">
      <c r="A7" s="10" t="s">
        <v>1406</v>
      </c>
    </row>
    <row r="8" customFormat="false" ht="15" hidden="false" customHeight="false" outlineLevel="0" collapsed="false">
      <c r="A8" s="5"/>
    </row>
    <row r="9" customFormat="false" ht="23.85" hidden="false" customHeight="false" outlineLevel="0" collapsed="false">
      <c r="A9" s="5" t="s">
        <v>1407</v>
      </c>
    </row>
    <row r="10" customFormat="false" ht="15" hidden="false" customHeight="false" outlineLevel="0" collapsed="false">
      <c r="A10" s="5"/>
    </row>
    <row r="11" customFormat="false" ht="15" hidden="false" customHeight="false" outlineLevel="0" collapsed="false">
      <c r="A11" s="10" t="s">
        <v>1408</v>
      </c>
    </row>
    <row r="12" customFormat="false" ht="15" hidden="false" customHeight="false" outlineLevel="0" collapsed="false">
      <c r="A12" s="5"/>
    </row>
    <row r="13" customFormat="false" ht="35.05" hidden="false" customHeight="false" outlineLevel="0" collapsed="false">
      <c r="A13" s="5" t="s">
        <v>1409</v>
      </c>
    </row>
    <row r="14" customFormat="false" ht="15" hidden="false" customHeight="false" outlineLevel="0" collapsed="false">
      <c r="A14" s="5"/>
    </row>
    <row r="15" customFormat="false" ht="23.85" hidden="false" customHeight="false" outlineLevel="0" collapsed="false">
      <c r="A15" s="5" t="s">
        <v>1410</v>
      </c>
    </row>
    <row r="16" customFormat="false" ht="15" hidden="false" customHeight="false" outlineLevel="0" collapsed="false">
      <c r="A16" s="5"/>
    </row>
    <row r="17" customFormat="false" ht="15" hidden="false" customHeight="false" outlineLevel="0" collapsed="false">
      <c r="A17" s="5" t="s">
        <v>1411</v>
      </c>
    </row>
    <row r="18" customFormat="false" ht="23.85" hidden="false" customHeight="false" outlineLevel="0" collapsed="false">
      <c r="A18" s="5" t="s">
        <v>1412</v>
      </c>
    </row>
    <row r="19" customFormat="false" ht="23.85" hidden="false" customHeight="false" outlineLevel="0" collapsed="false">
      <c r="A19" s="5" t="s">
        <v>1413</v>
      </c>
    </row>
    <row r="20" customFormat="false" ht="15" hidden="false" customHeight="false" outlineLevel="0" collapsed="false">
      <c r="A20" s="5" t="s">
        <v>1414</v>
      </c>
    </row>
    <row r="21" customFormat="false" ht="23.85" hidden="false" customHeight="false" outlineLevel="0" collapsed="false">
      <c r="A21" s="5" t="s">
        <v>1415</v>
      </c>
    </row>
    <row r="22" customFormat="false" ht="15" hidden="false" customHeight="false" outlineLevel="0" collapsed="false">
      <c r="A22" s="5"/>
    </row>
    <row r="23" customFormat="false" ht="15" hidden="false" customHeight="false" outlineLevel="0" collapsed="false">
      <c r="A23" s="10" t="s">
        <v>1416</v>
      </c>
    </row>
    <row r="24" customFormat="false" ht="15" hidden="false" customHeight="false" outlineLevel="0" collapsed="false">
      <c r="A24" s="5"/>
    </row>
    <row r="25" customFormat="false" ht="15" hidden="false" customHeight="false" outlineLevel="0" collapsed="false">
      <c r="A25" s="5" t="s">
        <v>1417</v>
      </c>
    </row>
    <row r="26" customFormat="false" ht="15" hidden="false" customHeight="false" outlineLevel="0" collapsed="false">
      <c r="A26" s="5"/>
    </row>
    <row r="27" customFormat="false" ht="15" hidden="false" customHeight="false" outlineLevel="0" collapsed="false">
      <c r="A27" s="5" t="s">
        <v>1418</v>
      </c>
    </row>
    <row r="28" customFormat="false" ht="15" hidden="false" customHeight="false" outlineLevel="0" collapsed="false">
      <c r="A28" s="5" t="s">
        <v>1419</v>
      </c>
    </row>
    <row r="29" customFormat="false" ht="15" hidden="false" customHeight="false" outlineLevel="0" collapsed="false">
      <c r="A29" s="5" t="s">
        <v>1420</v>
      </c>
    </row>
    <row r="30" customFormat="false" ht="15" hidden="false" customHeight="false" outlineLevel="0" collapsed="false">
      <c r="A30" s="5" t="s">
        <v>1421</v>
      </c>
    </row>
    <row r="31" customFormat="false" ht="15" hidden="false" customHeight="false" outlineLevel="0" collapsed="false">
      <c r="A31" s="5" t="s">
        <v>1422</v>
      </c>
    </row>
    <row r="32" customFormat="false" ht="15" hidden="false" customHeight="false" outlineLevel="0" collapsed="false">
      <c r="A32" s="5"/>
    </row>
    <row r="33" customFormat="false" ht="15" hidden="false" customHeight="false" outlineLevel="0" collapsed="false">
      <c r="A33" s="5" t="s">
        <v>1423</v>
      </c>
    </row>
    <row r="34" customFormat="false" ht="15" hidden="false" customHeight="false" outlineLevel="0" collapsed="false">
      <c r="A34" s="5"/>
    </row>
    <row r="35" customFormat="false" ht="15" hidden="false" customHeight="false" outlineLevel="0" collapsed="false">
      <c r="A35" s="5" t="s">
        <v>1424</v>
      </c>
    </row>
    <row r="36" customFormat="false" ht="15" hidden="false" customHeight="false" outlineLevel="0" collapsed="false">
      <c r="A36" s="5" t="s">
        <v>1425</v>
      </c>
    </row>
    <row r="37" customFormat="false" ht="15" hidden="false" customHeight="false" outlineLevel="0" collapsed="false">
      <c r="A37" s="5" t="s">
        <v>1426</v>
      </c>
    </row>
    <row r="38" customFormat="false" ht="15" hidden="false" customHeight="false" outlineLevel="0" collapsed="false">
      <c r="A38" s="5" t="s">
        <v>1427</v>
      </c>
    </row>
    <row r="39" customFormat="false" ht="15" hidden="false" customHeight="false" outlineLevel="0" collapsed="false">
      <c r="A39" s="5" t="s">
        <v>1428</v>
      </c>
    </row>
    <row r="40" customFormat="false" ht="15" hidden="false" customHeight="false" outlineLevel="0" collapsed="false">
      <c r="A40" s="5" t="s">
        <v>1429</v>
      </c>
    </row>
    <row r="41" customFormat="false" ht="15" hidden="false" customHeight="false" outlineLevel="0" collapsed="false">
      <c r="A41" s="5" t="s">
        <v>1430</v>
      </c>
    </row>
    <row r="42" customFormat="false" ht="15" hidden="false" customHeight="false" outlineLevel="0" collapsed="false">
      <c r="A42" s="5" t="s">
        <v>1431</v>
      </c>
    </row>
    <row r="43" customFormat="false" ht="15" hidden="false" customHeight="false" outlineLevel="0" collapsed="false">
      <c r="A43" s="5" t="s">
        <v>1432</v>
      </c>
    </row>
    <row r="44" customFormat="false" ht="15" hidden="false" customHeight="false" outlineLevel="0" collapsed="false">
      <c r="A44" s="5" t="s">
        <v>1433</v>
      </c>
    </row>
    <row r="45" customFormat="false" ht="15" hidden="false" customHeight="false" outlineLevel="0" collapsed="false">
      <c r="A45" s="5" t="s">
        <v>1434</v>
      </c>
    </row>
    <row r="46" customFormat="false" ht="15" hidden="false" customHeight="false" outlineLevel="0" collapsed="false">
      <c r="A46" s="5" t="s">
        <v>1435</v>
      </c>
    </row>
    <row r="47" customFormat="false" ht="15" hidden="false" customHeight="false" outlineLevel="0" collapsed="false">
      <c r="A47" s="5" t="s">
        <v>1436</v>
      </c>
    </row>
    <row r="48" customFormat="false" ht="15" hidden="false" customHeight="false" outlineLevel="0" collapsed="false">
      <c r="A48" s="5" t="s">
        <v>1437</v>
      </c>
    </row>
    <row r="49" customFormat="false" ht="15" hidden="false" customHeight="false" outlineLevel="0" collapsed="false">
      <c r="A49" s="5" t="s">
        <v>1438</v>
      </c>
    </row>
    <row r="50" customFormat="false" ht="15" hidden="false" customHeight="false" outlineLevel="0" collapsed="false">
      <c r="A50" s="5" t="s">
        <v>1439</v>
      </c>
    </row>
    <row r="51" customFormat="false" ht="15" hidden="false" customHeight="false" outlineLevel="0" collapsed="false">
      <c r="A51" s="5" t="s">
        <v>1440</v>
      </c>
    </row>
    <row r="52" customFormat="false" ht="15" hidden="false" customHeight="false" outlineLevel="0" collapsed="false">
      <c r="A52" s="5" t="s">
        <v>1441</v>
      </c>
    </row>
    <row r="53" customFormat="false" ht="15" hidden="false" customHeight="false" outlineLevel="0" collapsed="false">
      <c r="A53" s="5" t="s">
        <v>1442</v>
      </c>
    </row>
    <row r="54" customFormat="false" ht="15" hidden="false" customHeight="false" outlineLevel="0" collapsed="false">
      <c r="A54" s="5" t="s">
        <v>1443</v>
      </c>
    </row>
    <row r="55" customFormat="false" ht="15" hidden="false" customHeight="false" outlineLevel="0" collapsed="false">
      <c r="A55" s="5" t="s">
        <v>1444</v>
      </c>
    </row>
    <row r="56" customFormat="false" ht="15" hidden="false" customHeight="false" outlineLevel="0" collapsed="false">
      <c r="A56" s="5" t="s">
        <v>1445</v>
      </c>
    </row>
    <row r="57" customFormat="false" ht="15" hidden="false" customHeight="false" outlineLevel="0" collapsed="false">
      <c r="A57" s="5"/>
    </row>
    <row r="58" customFormat="false" ht="35.05" hidden="false" customHeight="false" outlineLevel="0" collapsed="false">
      <c r="A58" s="5" t="s">
        <v>1446</v>
      </c>
    </row>
    <row r="59" customFormat="false" ht="15" hidden="false" customHeight="false" outlineLevel="0" collapsed="false">
      <c r="A59" s="5"/>
    </row>
    <row r="60" customFormat="false" ht="35.05" hidden="false" customHeight="false" outlineLevel="0" collapsed="false">
      <c r="A60" s="5" t="s">
        <v>1447</v>
      </c>
    </row>
    <row r="61" customFormat="false" ht="15" hidden="false" customHeight="false" outlineLevel="0" collapsed="false">
      <c r="A61" s="5"/>
    </row>
    <row r="62" customFormat="false" ht="23.85" hidden="false" customHeight="false" outlineLevel="0" collapsed="false">
      <c r="A62" s="5" t="s">
        <v>1448</v>
      </c>
    </row>
    <row r="63" customFormat="false" ht="15" hidden="false" customHeight="false" outlineLevel="0" collapsed="false">
      <c r="A63" s="5"/>
    </row>
    <row r="64" customFormat="false" ht="15" hidden="false" customHeight="false" outlineLevel="0" collapsed="false">
      <c r="A64" s="5"/>
    </row>
    <row r="65" customFormat="false" ht="15" hidden="false" customHeight="false" outlineLevel="0" collapsed="false">
      <c r="A65" s="10" t="s">
        <v>1449</v>
      </c>
    </row>
    <row r="66" customFormat="false" ht="15" hidden="false" customHeight="false" outlineLevel="0" collapsed="false">
      <c r="A66" s="5"/>
    </row>
    <row r="67" customFormat="false" ht="15" hidden="false" customHeight="false" outlineLevel="0" collapsed="false">
      <c r="A67" s="5" t="s">
        <v>1450</v>
      </c>
    </row>
    <row r="68" customFormat="false" ht="15" hidden="false" customHeight="false" outlineLevel="0" collapsed="false">
      <c r="A68" s="5" t="s">
        <v>1451</v>
      </c>
    </row>
    <row r="69" customFormat="false" ht="15" hidden="false" customHeight="false" outlineLevel="0" collapsed="false">
      <c r="A69" s="5"/>
    </row>
    <row r="70" customFormat="false" ht="15" hidden="false" customHeight="false" outlineLevel="0" collapsed="false">
      <c r="A70" s="5"/>
    </row>
    <row r="71" customFormat="false" ht="15" hidden="false" customHeight="false" outlineLevel="0" collapsed="false">
      <c r="A71" s="10" t="s">
        <v>1452</v>
      </c>
    </row>
    <row r="72" customFormat="false" ht="23.85" hidden="false" customHeight="false" outlineLevel="0" collapsed="false">
      <c r="A72" s="5" t="s">
        <v>1453</v>
      </c>
    </row>
    <row r="73" customFormat="false" ht="15" hidden="false" customHeight="false" outlineLevel="0" collapsed="false">
      <c r="A73" s="5" t="s">
        <v>1454</v>
      </c>
    </row>
    <row r="74" customFormat="false" ht="15" hidden="false" customHeight="false" outlineLevel="0" collapsed="false">
      <c r="A74" s="5"/>
    </row>
    <row r="75" customFormat="false" ht="15" hidden="false" customHeight="false" outlineLevel="0" collapsed="false">
      <c r="A75" s="5"/>
    </row>
    <row r="76" customFormat="false" ht="15" hidden="false" customHeight="false" outlineLevel="0" collapsed="false">
      <c r="A76" s="10" t="s">
        <v>1455</v>
      </c>
    </row>
    <row r="77" customFormat="false" ht="15" hidden="false" customHeight="false" outlineLevel="0" collapsed="false">
      <c r="A77" s="5"/>
    </row>
    <row r="78" customFormat="false" ht="15" hidden="false" customHeight="false" outlineLevel="0" collapsed="false">
      <c r="A78" s="5" t="s">
        <v>1456</v>
      </c>
    </row>
    <row r="79" customFormat="false" ht="23.85" hidden="false" customHeight="false" outlineLevel="0" collapsed="false">
      <c r="A79" s="5" t="s">
        <v>1457</v>
      </c>
    </row>
    <row r="80" customFormat="false" ht="15" hidden="false" customHeight="false" outlineLevel="0" collapsed="false">
      <c r="A80" s="5"/>
    </row>
    <row r="81" customFormat="false" ht="15" hidden="false" customHeight="false" outlineLevel="0" collapsed="false">
      <c r="A81" s="5"/>
    </row>
    <row r="82" customFormat="false" ht="15" hidden="false" customHeight="false" outlineLevel="0" collapsed="false">
      <c r="A82" s="10" t="s">
        <v>1452</v>
      </c>
    </row>
    <row r="83" customFormat="false" ht="23.85" hidden="false" customHeight="false" outlineLevel="0" collapsed="false">
      <c r="A83" s="5" t="s">
        <v>1458</v>
      </c>
    </row>
    <row r="84" customFormat="false" ht="15" hidden="false" customHeight="false" outlineLevel="0" collapsed="false">
      <c r="A84" s="5" t="s">
        <v>1459</v>
      </c>
    </row>
    <row r="85" customFormat="false" ht="15" hidden="false" customHeight="false" outlineLevel="0" collapsed="false">
      <c r="A85" s="5"/>
    </row>
    <row r="86" customFormat="false" ht="15" hidden="false" customHeight="false" outlineLevel="0" collapsed="false">
      <c r="A86" s="5"/>
    </row>
    <row r="87" customFormat="false" ht="15" hidden="false" customHeight="false" outlineLevel="0" collapsed="false">
      <c r="A87" s="10" t="s">
        <v>1460</v>
      </c>
    </row>
    <row r="88" customFormat="false" ht="15" hidden="false" customHeight="false" outlineLevel="0" collapsed="false">
      <c r="A88" s="5"/>
    </row>
    <row r="89" customFormat="false" ht="15" hidden="false" customHeight="false" outlineLevel="0" collapsed="false">
      <c r="A89" s="5" t="s">
        <v>1461</v>
      </c>
    </row>
    <row r="90" customFormat="false" ht="23.85" hidden="false" customHeight="false" outlineLevel="0" collapsed="false">
      <c r="A90" s="5" t="s">
        <v>1462</v>
      </c>
    </row>
    <row r="91" customFormat="false" ht="15" hidden="false" customHeight="false" outlineLevel="0" collapsed="false">
      <c r="A91" s="5"/>
    </row>
    <row r="92" customFormat="false" ht="15" hidden="false" customHeight="false" outlineLevel="0" collapsed="false">
      <c r="A92" s="5"/>
    </row>
    <row r="93" customFormat="false" ht="15" hidden="false" customHeight="false" outlineLevel="0" collapsed="false">
      <c r="A93" s="10" t="s">
        <v>1452</v>
      </c>
    </row>
    <row r="94" customFormat="false" ht="23.85" hidden="false" customHeight="false" outlineLevel="0" collapsed="false">
      <c r="A94" s="5" t="s">
        <v>1463</v>
      </c>
    </row>
    <row r="95" customFormat="false" ht="15" hidden="false" customHeight="false" outlineLevel="0" collapsed="false">
      <c r="A95" s="5" t="s">
        <v>1464</v>
      </c>
    </row>
    <row r="96" customFormat="false" ht="23.85" hidden="false" customHeight="false" outlineLevel="0" collapsed="false">
      <c r="A96" s="5" t="s">
        <v>1465</v>
      </c>
    </row>
    <row r="97" customFormat="false" ht="15" hidden="false" customHeight="false" outlineLevel="0" collapsed="false">
      <c r="A97" s="5"/>
    </row>
    <row r="98" customFormat="false" ht="15" hidden="false" customHeight="false" outlineLevel="0" collapsed="false">
      <c r="A98" s="5"/>
    </row>
    <row r="99" customFormat="false" ht="15" hidden="false" customHeight="false" outlineLevel="0" collapsed="false">
      <c r="A99" s="10" t="s">
        <v>1466</v>
      </c>
    </row>
    <row r="100" customFormat="false" ht="15" hidden="false" customHeight="false" outlineLevel="0" collapsed="false">
      <c r="A100" s="5"/>
    </row>
    <row r="101" customFormat="false" ht="35.05" hidden="false" customHeight="false" outlineLevel="0" collapsed="false">
      <c r="A101" s="5" t="s">
        <v>1467</v>
      </c>
    </row>
    <row r="102" customFormat="false" ht="15" hidden="false" customHeight="false" outlineLevel="0" collapsed="false">
      <c r="A102" s="5"/>
    </row>
    <row r="103" customFormat="false" ht="23.85" hidden="false" customHeight="false" outlineLevel="0" collapsed="false">
      <c r="A103" s="5" t="s">
        <v>1468</v>
      </c>
    </row>
    <row r="104" customFormat="false" ht="15" hidden="false" customHeight="false" outlineLevel="0" collapsed="false">
      <c r="A104" s="5"/>
    </row>
    <row r="105" customFormat="false" ht="15" hidden="false" customHeight="false" outlineLevel="0" collapsed="false">
      <c r="A105" s="5"/>
    </row>
    <row r="106" customFormat="false" ht="15" hidden="false" customHeight="false" outlineLevel="0" collapsed="false">
      <c r="A106" s="10" t="s">
        <v>1452</v>
      </c>
    </row>
    <row r="107" customFormat="false" ht="15" hidden="false" customHeight="false" outlineLevel="0" collapsed="false">
      <c r="A107" s="5" t="s">
        <v>1469</v>
      </c>
    </row>
    <row r="108" customFormat="false" ht="15" hidden="false" customHeight="false" outlineLevel="0" collapsed="false">
      <c r="A108" s="5" t="s">
        <v>1470</v>
      </c>
    </row>
    <row r="109" customFormat="false" ht="15" hidden="false" customHeight="false" outlineLevel="0" collapsed="false">
      <c r="A109" s="5" t="s">
        <v>1471</v>
      </c>
    </row>
    <row r="110" customFormat="false" ht="15" hidden="false" customHeight="false" outlineLevel="0" collapsed="false">
      <c r="A110" s="5" t="s">
        <v>1472</v>
      </c>
    </row>
    <row r="111" customFormat="false" ht="15" hidden="false" customHeight="false" outlineLevel="0" collapsed="false">
      <c r="A111" s="5" t="s">
        <v>1473</v>
      </c>
    </row>
    <row r="112" customFormat="false" ht="15" hidden="false" customHeight="false" outlineLevel="0" collapsed="false">
      <c r="A112" s="5" t="s">
        <v>1474</v>
      </c>
    </row>
    <row r="113" customFormat="false" ht="15" hidden="false" customHeight="false" outlineLevel="0" collapsed="false">
      <c r="A113" s="5"/>
    </row>
    <row r="114" customFormat="false" ht="15" hidden="false" customHeight="false" outlineLevel="0" collapsed="false">
      <c r="A114" s="5" t="s">
        <v>1475</v>
      </c>
    </row>
    <row r="115" customFormat="false" ht="15" hidden="false" customHeight="false" outlineLevel="0" collapsed="false">
      <c r="A115" s="5"/>
    </row>
    <row r="116" customFormat="false" ht="15" hidden="false" customHeight="false" outlineLevel="0" collapsed="false">
      <c r="A116" s="5"/>
    </row>
    <row r="117" customFormat="false" ht="15" hidden="false" customHeight="false" outlineLevel="0" collapsed="false">
      <c r="A117" s="10" t="s">
        <v>1476</v>
      </c>
    </row>
    <row r="118" customFormat="false" ht="15" hidden="false" customHeight="false" outlineLevel="0" collapsed="false">
      <c r="A118" s="5"/>
    </row>
    <row r="119" customFormat="false" ht="35.05" hidden="false" customHeight="false" outlineLevel="0" collapsed="false">
      <c r="A119" s="5" t="s">
        <v>1477</v>
      </c>
    </row>
    <row r="120" customFormat="false" ht="15" hidden="false" customHeight="false" outlineLevel="0" collapsed="false">
      <c r="A120" s="5"/>
    </row>
    <row r="121" customFormat="false" ht="23.85" hidden="false" customHeight="false" outlineLevel="0" collapsed="false">
      <c r="A121" s="5" t="s">
        <v>1478</v>
      </c>
    </row>
    <row r="122" customFormat="false" ht="15" hidden="false" customHeight="false" outlineLevel="0" collapsed="false">
      <c r="A122" s="5"/>
    </row>
    <row r="123" customFormat="false" ht="79.85" hidden="false" customHeight="false" outlineLevel="0" collapsed="false">
      <c r="A123" s="5" t="s">
        <v>1479</v>
      </c>
    </row>
    <row r="124" customFormat="false" ht="15" hidden="false" customHeight="false" outlineLevel="0" collapsed="false">
      <c r="A124" s="5"/>
    </row>
    <row r="125" customFormat="false" ht="23.85" hidden="false" customHeight="false" outlineLevel="0" collapsed="false">
      <c r="A125" s="5" t="s">
        <v>1480</v>
      </c>
    </row>
    <row r="126" customFormat="false" ht="15" hidden="false" customHeight="false" outlineLevel="0" collapsed="false">
      <c r="A126" s="5"/>
    </row>
    <row r="127" customFormat="false" ht="15" hidden="false" customHeight="false" outlineLevel="0" collapsed="false">
      <c r="A127" s="5" t="s">
        <v>1481</v>
      </c>
    </row>
    <row r="128" customFormat="false" ht="15" hidden="false" customHeight="false" outlineLevel="0" collapsed="false">
      <c r="A128" s="5" t="s">
        <v>1482</v>
      </c>
    </row>
    <row r="129" customFormat="false" ht="23.85" hidden="false" customHeight="false" outlineLevel="0" collapsed="false">
      <c r="A129" s="5" t="s">
        <v>1483</v>
      </c>
    </row>
    <row r="130" customFormat="false" ht="15" hidden="false" customHeight="false" outlineLevel="0" collapsed="false">
      <c r="A130" s="5" t="s">
        <v>1484</v>
      </c>
    </row>
    <row r="131" customFormat="false" ht="15" hidden="false" customHeight="false" outlineLevel="0" collapsed="false">
      <c r="A131" s="5"/>
    </row>
    <row r="132" customFormat="false" ht="15" hidden="false" customHeight="false" outlineLevel="0" collapsed="false">
      <c r="A132" s="10" t="s">
        <v>1485</v>
      </c>
    </row>
    <row r="133" customFormat="false" ht="15" hidden="false" customHeight="false" outlineLevel="0" collapsed="false">
      <c r="A133" s="5"/>
    </row>
    <row r="134" customFormat="false" ht="15" hidden="false" customHeight="false" outlineLevel="0" collapsed="false">
      <c r="A134" s="5"/>
    </row>
    <row r="135" customFormat="false" ht="15" hidden="false" customHeight="false" outlineLevel="0" collapsed="false">
      <c r="A135" s="10" t="s">
        <v>1486</v>
      </c>
    </row>
    <row r="136" customFormat="false" ht="15" hidden="false" customHeight="false" outlineLevel="0" collapsed="false">
      <c r="A136" s="5"/>
    </row>
    <row r="137" customFormat="false" ht="15" hidden="false" customHeight="false" outlineLevel="0" collapsed="false">
      <c r="A137" s="5"/>
    </row>
    <row r="138" customFormat="false" ht="15" hidden="false" customHeight="false" outlineLevel="0" collapsed="false">
      <c r="A138" s="10" t="s">
        <v>1487</v>
      </c>
    </row>
    <row r="139" customFormat="false" ht="15" hidden="false" customHeight="false" outlineLevel="0" collapsed="false">
      <c r="A139" s="5"/>
    </row>
    <row r="140" customFormat="false" ht="15" hidden="false" customHeight="false" outlineLevel="0" collapsed="false">
      <c r="A140" s="5"/>
    </row>
    <row r="141" customFormat="false" ht="15" hidden="false" customHeight="false" outlineLevel="0" collapsed="false">
      <c r="A141" s="10" t="s">
        <v>1488</v>
      </c>
    </row>
    <row r="142" customFormat="false" ht="15" hidden="false" customHeight="false" outlineLevel="0" collapsed="false">
      <c r="A142" s="5"/>
    </row>
    <row r="143" customFormat="false" ht="15" hidden="false" customHeight="false" outlineLevel="0" collapsed="false">
      <c r="A143" s="5" t="s">
        <v>1489</v>
      </c>
    </row>
    <row r="144" customFormat="false" ht="15" hidden="false" customHeight="false" outlineLevel="0" collapsed="false">
      <c r="A144" s="5"/>
    </row>
    <row r="145" customFormat="false" ht="15" hidden="false" customHeight="false" outlineLevel="0" collapsed="false">
      <c r="A145" s="5"/>
    </row>
    <row r="146" customFormat="false" ht="15" hidden="false" customHeight="false" outlineLevel="0" collapsed="false">
      <c r="A146" s="10" t="s">
        <v>1452</v>
      </c>
    </row>
    <row r="147" customFormat="false" ht="35.05" hidden="false" customHeight="false" outlineLevel="0" collapsed="false">
      <c r="A147" s="5" t="s">
        <v>1490</v>
      </c>
    </row>
    <row r="148" customFormat="false" ht="15" hidden="false" customHeight="false" outlineLevel="0" collapsed="false">
      <c r="A148" s="5" t="s">
        <v>1491</v>
      </c>
    </row>
    <row r="149" customFormat="false" ht="46.25" hidden="false" customHeight="false" outlineLevel="0" collapsed="false">
      <c r="A149" s="5" t="s">
        <v>1492</v>
      </c>
    </row>
    <row r="150" customFormat="false" ht="23.85" hidden="false" customHeight="false" outlineLevel="0" collapsed="false">
      <c r="A150" s="5" t="s">
        <v>1493</v>
      </c>
    </row>
    <row r="151" customFormat="false" ht="15" hidden="false" customHeight="false" outlineLevel="0" collapsed="false">
      <c r="A151" s="5"/>
    </row>
    <row r="152" customFormat="false" ht="15" hidden="false" customHeight="false" outlineLevel="0" collapsed="false">
      <c r="A152" s="10" t="s">
        <v>1494</v>
      </c>
    </row>
    <row r="153" customFormat="false" ht="35.05" hidden="false" customHeight="false" outlineLevel="0" collapsed="false">
      <c r="A153" s="5" t="s">
        <v>1495</v>
      </c>
    </row>
    <row r="154" customFormat="false" ht="23.85" hidden="false" customHeight="false" outlineLevel="0" collapsed="false">
      <c r="A154" s="5" t="s">
        <v>1496</v>
      </c>
    </row>
    <row r="155" customFormat="false" ht="23.85" hidden="false" customHeight="false" outlineLevel="0" collapsed="false">
      <c r="A155" s="5" t="s">
        <v>1497</v>
      </c>
    </row>
    <row r="156" customFormat="false" ht="15" hidden="false" customHeight="false" outlineLevel="0" collapsed="false">
      <c r="A156" s="5" t="s">
        <v>1498</v>
      </c>
    </row>
    <row r="157" customFormat="false" ht="15" hidden="false" customHeight="false" outlineLevel="0" collapsed="false">
      <c r="A157" s="5" t="s">
        <v>1499</v>
      </c>
    </row>
    <row r="158" customFormat="false" ht="15" hidden="false" customHeight="false" outlineLevel="0" collapsed="false">
      <c r="A15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2026-10-09T10:03:31Z</dcterms:created>
  <dc:creator>openpyxl</dc:creator>
  <dc:description/>
  <dc:language>en-US</dc:language>
  <cp:lastModifiedBy/>
  <dcterms:modified xsi:type="dcterms:W3CDTF">2026-10-09T10:03:31Z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